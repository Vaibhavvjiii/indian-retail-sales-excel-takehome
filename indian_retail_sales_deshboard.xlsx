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7080" tabRatio="721" activeTab="3"/>
  </bookViews>
  <sheets>
    <sheet name="DATA" sheetId="1" r:id="rId1"/>
    <sheet name="DATA QAULITY" sheetId="2" r:id="rId2"/>
    <sheet name="SOURCE OF DASHBOARD" sheetId="3" r:id="rId3"/>
    <sheet name="DASHBOARD" sheetId="4" r:id="rId4"/>
  </sheets>
  <definedNames>
    <definedName name="Slicer_product_category">#N/A</definedName>
    <definedName name="Slicer_store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<sst xmlns="http://schemas.openxmlformats.org/spreadsheetml/2006/main" count="361" uniqueCount="166">
  <si>
    <t>bill_id</t>
  </si>
  <si>
    <t>customer_name</t>
  </si>
  <si>
    <t>city</t>
  </si>
  <si>
    <t>product_category</t>
  </si>
  <si>
    <t>quantity</t>
  </si>
  <si>
    <t>total_amount</t>
  </si>
  <si>
    <t>payment_method</t>
  </si>
  <si>
    <t>store_type</t>
  </si>
  <si>
    <t>visit_date</t>
  </si>
  <si>
    <t>month_&amp;_year</t>
  </si>
  <si>
    <t>Rahul Sharma</t>
  </si>
  <si>
    <t>Delhi</t>
  </si>
  <si>
    <t>Grocery</t>
  </si>
  <si>
    <t>UPI</t>
  </si>
  <si>
    <t>Supermarket</t>
  </si>
  <si>
    <t>Priya Verma</t>
  </si>
  <si>
    <t>Mumbai</t>
  </si>
  <si>
    <t>Electronics</t>
  </si>
  <si>
    <t>Credit Card</t>
  </si>
  <si>
    <t>Mall Store</t>
  </si>
  <si>
    <t>Amit Patel</t>
  </si>
  <si>
    <t>Ahmedabad</t>
  </si>
  <si>
    <t>Clothing</t>
  </si>
  <si>
    <t>Neha Singh</t>
  </si>
  <si>
    <t>Lucknow</t>
  </si>
  <si>
    <t>Cash</t>
  </si>
  <si>
    <t>Rohit Kumar</t>
  </si>
  <si>
    <t>Patna</t>
  </si>
  <si>
    <t>Stationery</t>
  </si>
  <si>
    <t>Local Store</t>
  </si>
  <si>
    <t>Anjali Mehta</t>
  </si>
  <si>
    <t>Pune</t>
  </si>
  <si>
    <t>Debit Card</t>
  </si>
  <si>
    <t>Suresh Yadav</t>
  </si>
  <si>
    <t>Jaipur</t>
  </si>
  <si>
    <t>Kavita Joshi</t>
  </si>
  <si>
    <t>Indore</t>
  </si>
  <si>
    <t>Vikas Mishra</t>
  </si>
  <si>
    <t>Bhopal</t>
  </si>
  <si>
    <t>Pooja Agarwal</t>
  </si>
  <si>
    <t>Kolkata</t>
  </si>
  <si>
    <t>Manish Gupta</t>
  </si>
  <si>
    <t>Kanpur</t>
  </si>
  <si>
    <t>Shalini Jain</t>
  </si>
  <si>
    <t>Udaipur</t>
  </si>
  <si>
    <t>Deepak Verma</t>
  </si>
  <si>
    <t>Noida</t>
  </si>
  <si>
    <t>Ritu Saxena</t>
  </si>
  <si>
    <t>Agra</t>
  </si>
  <si>
    <t>Nitin Malhotra</t>
  </si>
  <si>
    <t>Gurgaon</t>
  </si>
  <si>
    <t>Sonal Choudhary</t>
  </si>
  <si>
    <t>Jodhpur</t>
  </si>
  <si>
    <t>Akash Tiwari</t>
  </si>
  <si>
    <t>Rewa</t>
  </si>
  <si>
    <t>Meena Kapoor</t>
  </si>
  <si>
    <t>Chandigarh</t>
  </si>
  <si>
    <t>Kunal Bansal</t>
  </si>
  <si>
    <t>Faridabad</t>
  </si>
  <si>
    <t>Swati Kulkarni</t>
  </si>
  <si>
    <t>Nagpur</t>
  </si>
  <si>
    <t>Rakesh Pandey</t>
  </si>
  <si>
    <t>Varanasi</t>
  </si>
  <si>
    <t>Isha Malviya</t>
  </si>
  <si>
    <t>Ratlam</t>
  </si>
  <si>
    <t>Harsh Vardhan</t>
  </si>
  <si>
    <t>Meerut</t>
  </si>
  <si>
    <t>Namita Arora</t>
  </si>
  <si>
    <t>Amritsar</t>
  </si>
  <si>
    <t>Sachin Deshmukh</t>
  </si>
  <si>
    <t>Nashik</t>
  </si>
  <si>
    <t>Preeti Kulkarni</t>
  </si>
  <si>
    <t>Solapur</t>
  </si>
  <si>
    <t>Mohit Jain</t>
  </si>
  <si>
    <t>Kota</t>
  </si>
  <si>
    <t>Alok Srivastava</t>
  </si>
  <si>
    <t>Prayagraj</t>
  </si>
  <si>
    <t>Sunita Rani</t>
  </si>
  <si>
    <t>Hisar</t>
  </si>
  <si>
    <t>Vinayak Patil</t>
  </si>
  <si>
    <t>Kolhapur</t>
  </si>
  <si>
    <t>Pankaj Sharma</t>
  </si>
  <si>
    <t>Rohtak</t>
  </si>
  <si>
    <t>Ayesha Khan</t>
  </si>
  <si>
    <t>Tushar Goyal</t>
  </si>
  <si>
    <t>Panipat</t>
  </si>
  <si>
    <t>Nisha Bajaj</t>
  </si>
  <si>
    <t>Ludhiana</t>
  </si>
  <si>
    <t>Sandeep Rathore</t>
  </si>
  <si>
    <t>Gwalior</t>
  </si>
  <si>
    <t>Rupal Shah</t>
  </si>
  <si>
    <t>Surat</t>
  </si>
  <si>
    <t>Ajay Thakur</t>
  </si>
  <si>
    <t>Bilaspur</t>
  </si>
  <si>
    <t>Monika Arora</t>
  </si>
  <si>
    <t>Panchkula</t>
  </si>
  <si>
    <t>Prakash Nair</t>
  </si>
  <si>
    <t>Kochi</t>
  </si>
  <si>
    <t>Lata Menon</t>
  </si>
  <si>
    <t>Trivandrum</t>
  </si>
  <si>
    <t>Naveen Reddy</t>
  </si>
  <si>
    <t>Hyderabad</t>
  </si>
  <si>
    <t>Karthik Iyer</t>
  </si>
  <si>
    <t>Chennai</t>
  </si>
  <si>
    <t>Sneha Kulkarni</t>
  </si>
  <si>
    <t>Satara</t>
  </si>
  <si>
    <t>Ramesh Pawar</t>
  </si>
  <si>
    <t>Sangli</t>
  </si>
  <si>
    <t>Divya Joshi</t>
  </si>
  <si>
    <t>Dehradun</t>
  </si>
  <si>
    <t>Arvind Mishra</t>
  </si>
  <si>
    <t>Gorakhpur</t>
  </si>
  <si>
    <t>Bhavesh Modi</t>
  </si>
  <si>
    <t>Rajkot</t>
  </si>
  <si>
    <t>Nandini Rao</t>
  </si>
  <si>
    <t>Bengaluru</t>
  </si>
  <si>
    <t>Sanjay Shetty</t>
  </si>
  <si>
    <t>Mangalore</t>
  </si>
  <si>
    <t>Pritam Das</t>
  </si>
  <si>
    <t>Siliguri</t>
  </si>
  <si>
    <t>CHECK</t>
  </si>
  <si>
    <t>FIND</t>
  </si>
  <si>
    <t>FINDING</t>
  </si>
  <si>
    <t>STATUS</t>
  </si>
  <si>
    <t>NULLs</t>
  </si>
  <si>
    <t>CHECKED</t>
  </si>
  <si>
    <t>BLANK VALUE</t>
  </si>
  <si>
    <t>DUPLICATE RECORDS</t>
  </si>
  <si>
    <t>INCOMPLETE RECORDS</t>
  </si>
  <si>
    <t>data type</t>
  </si>
  <si>
    <t>columns</t>
  </si>
  <si>
    <t>expected fromat</t>
  </si>
  <si>
    <t>checked</t>
  </si>
  <si>
    <t>action</t>
  </si>
  <si>
    <t>text</t>
  </si>
  <si>
    <t>text format</t>
  </si>
  <si>
    <t>no need</t>
  </si>
  <si>
    <t>number</t>
  </si>
  <si>
    <t>number format</t>
  </si>
  <si>
    <t>date</t>
  </si>
  <si>
    <t>not in proper 
date format</t>
  </si>
  <si>
    <t>using Text to Columns</t>
  </si>
  <si>
    <t>sales by city</t>
  </si>
  <si>
    <t>sales by product category</t>
  </si>
  <si>
    <t>sales by store type</t>
  </si>
  <si>
    <t>sales by payment method</t>
  </si>
  <si>
    <t>monthly trend</t>
  </si>
  <si>
    <t>Sum of total_amount</t>
  </si>
  <si>
    <t>Jan</t>
  </si>
  <si>
    <t>May</t>
  </si>
  <si>
    <t>Jun</t>
  </si>
  <si>
    <t>Grand Total</t>
  </si>
  <si>
    <t>Jul</t>
  </si>
  <si>
    <t>Aug</t>
  </si>
  <si>
    <t>Sep</t>
  </si>
  <si>
    <t>Oct</t>
  </si>
  <si>
    <t>Nov</t>
  </si>
  <si>
    <t>Dec</t>
  </si>
  <si>
    <t>kpi card valus</t>
  </si>
  <si>
    <t>Sum of quantity</t>
  </si>
  <si>
    <t>Count of total_amount</t>
  </si>
  <si>
    <t>Average of total_amount</t>
  </si>
  <si>
    <t>Total Sales</t>
  </si>
  <si>
    <t>Total Quantity</t>
  </si>
  <si>
    <t>Total Transactions</t>
  </si>
  <si>
    <t>AVG. TRANSACTOIN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</si>
</sst>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[$₹-4009]#,##0;[$₹-4009]\-#,##0"/>
    <numFmt numFmtId="180" formatCode="[$-409]dddd\,\ mmmm\ d\,\ yyyy;@"/>
    <numFmt numFmtId="181" formatCode="dd\-mm\-yyyy"/>
    <numFmt numFmtId="182" formatCode="mmm\,\ yyyy"/>
  </numFmts>
  <fonts count="30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sz val="11"/>
      <color theme="8" tint="-0.2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9" borderId="17" applyNumberFormat="0" applyAlignment="0" applyProtection="0">
      <alignment vertical="center"/>
    </xf>
    <xf numFmtId="0" fontId="22" fillId="10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4" xfId="0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6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7" xfId="0" applyFill="1" applyBorder="1">
      <alignment vertical="center"/>
    </xf>
    <xf numFmtId="0" fontId="4" fillId="2" borderId="0" xfId="0" applyFont="1" applyFill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179" fontId="0" fillId="0" borderId="9" xfId="0" applyNumberForma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vertical="center" wrapText="1"/>
    </xf>
    <xf numFmtId="0" fontId="0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9" fillId="0" borderId="0" xfId="0" applyFont="1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Fill="1" applyBorder="1">
      <alignment vertical="center"/>
    </xf>
    <xf numFmtId="0" fontId="10" fillId="5" borderId="0" xfId="0" applyNumberFormat="1" applyFont="1" applyFill="1" applyBorder="1" applyAlignment="1" applyProtection="1">
      <alignment horizontal="center" vertical="center"/>
    </xf>
    <xf numFmtId="0" fontId="10" fillId="5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0" fillId="6" borderId="0" xfId="0" applyNumberFormat="1" applyFont="1" applyFill="1" applyBorder="1" applyAlignment="1" applyProtection="1">
      <alignment horizontal="center" vertical="center"/>
    </xf>
    <xf numFmtId="0" fontId="0" fillId="6" borderId="0" xfId="0" applyNumberFormat="1" applyFont="1" applyFill="1" applyBorder="1" applyAlignment="1" applyProtection="1">
      <alignment horizontal="center"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1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81" fontId="0" fillId="0" borderId="0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1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79" formatCode="[$₹-4009]#,##0;[$₹-4009]\-#,##0"/>
    </dxf>
    <dxf>
      <numFmt numFmtId="179" formatCode="[$₹-4009]#,##0;[$₹-4009]\-#,##0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81" formatCode="dd\-mm\-yyyy"/>
    </dxf>
    <dxf>
      <numFmt numFmtId="182" formatCode="mmm\,\ yyyy"/>
    </dxf>
    <dxf>
      <font>
        <color rgb="FF9C0006"/>
      </font>
      <fill>
        <patternFill patternType="solid"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40"/>
      <tableStyleElement type="totalRow" dxfId="39"/>
      <tableStyleElement type="firstRowStripe" dxfId="38"/>
      <tableStyleElement type="firstColumnStripe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[Workbook1]SOURCE OF DASHBOARD!sales by city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Sales By City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261558784676"/>
          <c:y val="0.0438764643237487"/>
          <c:w val="0.796486129458388"/>
          <c:h val="0.9477103301384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'SOURCE OF DASHBOARD'!$C$3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DASHBOARD'!$B$4:$B$15</c:f>
              <c:strCache>
                <c:ptCount val="11"/>
                <c:pt idx="0">
                  <c:v>Chennai</c:v>
                </c:pt>
                <c:pt idx="1">
                  <c:v>Gurgaon</c:v>
                </c:pt>
                <c:pt idx="2">
                  <c:v>Indore</c:v>
                </c:pt>
                <c:pt idx="3">
                  <c:v>Jaipur</c:v>
                </c:pt>
                <c:pt idx="4">
                  <c:v>Kanpur</c:v>
                </c:pt>
                <c:pt idx="5">
                  <c:v>Kochi</c:v>
                </c:pt>
                <c:pt idx="6">
                  <c:v>Meerut</c:v>
                </c:pt>
                <c:pt idx="7">
                  <c:v>Mumbai</c:v>
                </c:pt>
                <c:pt idx="8">
                  <c:v>Panipat</c:v>
                </c:pt>
                <c:pt idx="9">
                  <c:v>Prayagraj</c:v>
                </c:pt>
                <c:pt idx="10">
                  <c:v>Rajkot</c:v>
                </c:pt>
              </c:strCache>
            </c:strRef>
          </c:cat>
          <c:val>
            <c:numRef>
              <c:f>'SOURCE OF DASHBOARD'!$C$4:$C$15</c:f>
              <c:numCache>
                <c:formatCode>[$₹-4009]#,##0;[$₹-4009]\-#,##0</c:formatCode>
                <c:ptCount val="11"/>
                <c:pt idx="0">
                  <c:v>30000</c:v>
                </c:pt>
                <c:pt idx="1">
                  <c:v>40000</c:v>
                </c:pt>
                <c:pt idx="2">
                  <c:v>900</c:v>
                </c:pt>
                <c:pt idx="3">
                  <c:v>18000</c:v>
                </c:pt>
                <c:pt idx="4">
                  <c:v>25000</c:v>
                </c:pt>
                <c:pt idx="5">
                  <c:v>26000</c:v>
                </c:pt>
                <c:pt idx="6">
                  <c:v>22000</c:v>
                </c:pt>
                <c:pt idx="7">
                  <c:v>32000</c:v>
                </c:pt>
                <c:pt idx="8">
                  <c:v>36000</c:v>
                </c:pt>
                <c:pt idx="9">
                  <c:v>28000</c:v>
                </c:pt>
                <c:pt idx="10">
                  <c:v>24000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0"/>
        <c:axId val="389739462"/>
        <c:axId val="206682120"/>
      </c:barChart>
      <c:catAx>
        <c:axId val="38973946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6682120"/>
        <c:crosses val="autoZero"/>
        <c:auto val="1"/>
        <c:lblAlgn val="ctr"/>
        <c:lblOffset val="100"/>
        <c:noMultiLvlLbl val="0"/>
      </c:catAx>
      <c:valAx>
        <c:axId val="206682120"/>
        <c:scaling>
          <c:orientation val="minMax"/>
        </c:scaling>
        <c:delete val="1"/>
        <c:axPos val="b"/>
        <c:numFmt formatCode="[$₹-4009]#,##0;[$₹-4009]\-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7394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b6ef21-a3e0-4d0e-9066-0f8ce43c1a8f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[Workbook1]SOURCE OF DASHBOARD!sales by product category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Sales By Product Category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'SOURCE OF DASHBOARD'!$G$3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'SOURCE OF DASHBOARD'!$F$4:$F$8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Stationery</c:v>
                </c:pt>
              </c:strCache>
            </c:strRef>
          </c:cat>
          <c:val>
            <c:numRef>
              <c:f>'SOURCE OF DASHBOARD'!$G$4:$G$8</c:f>
              <c:numCache>
                <c:formatCode>General</c:formatCode>
                <c:ptCount val="4"/>
                <c:pt idx="0">
                  <c:v>63800</c:v>
                </c:pt>
                <c:pt idx="1">
                  <c:v>296000</c:v>
                </c:pt>
                <c:pt idx="2">
                  <c:v>17030</c:v>
                </c:pt>
                <c:pt idx="3">
                  <c:v>4520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53585957"/>
        <c:axId val="630475303"/>
      </c:barChart>
      <c:catAx>
        <c:axId val="2535859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30475303"/>
        <c:crosses val="autoZero"/>
        <c:auto val="1"/>
        <c:lblAlgn val="ctr"/>
        <c:lblOffset val="100"/>
        <c:noMultiLvlLbl val="0"/>
      </c:catAx>
      <c:valAx>
        <c:axId val="630475303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535859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4a8ae6-f6a6-4c88-8f84-8d784484f310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[Workbook1]SOURCE OF DASHBOARD!sales by store type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Sales By Store Type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'SOURCE OF DASHBOARD'!$J$3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21458773784355"/>
                  <c:y val="0.010665430095061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bg1"/>
                        </a:solidFill>
                      </a:rPr>
                      <a:t>Mall Store</a:t>
                    </a:r>
                    <a:endParaRPr>
                      <a:solidFill>
                        <a:schemeClr val="bg1"/>
                      </a:solidFill>
                    </a:endParaRPr>
                  </a:p>
                </c:rich>
              </c:tx>
              <c:numFmt formatCode="General" sourceLinked="1"/>
              <c:spPr>
                <a:solidFill>
                  <a:schemeClr val="accent1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0680496828752643"/>
                  <c:y val="0"/>
                </c:manualLayout>
              </c:layout>
              <c:numFmt formatCode="General" sourceLinked="1"/>
              <c:spPr>
                <a:solidFill>
                  <a:schemeClr val="accent3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DASHBOARD'!$I$4:$I$7</c:f>
              <c:strCache>
                <c:ptCount val="3"/>
                <c:pt idx="0">
                  <c:v>Local Store</c:v>
                </c:pt>
                <c:pt idx="1">
                  <c:v>Mall Store</c:v>
                </c:pt>
                <c:pt idx="2">
                  <c:v>Supermarket</c:v>
                </c:pt>
              </c:strCache>
            </c:strRef>
          </c:cat>
          <c:val>
            <c:numRef>
              <c:f>'SOURCE OF DASHBOARD'!$J$4:$J$7</c:f>
              <c:numCache>
                <c:formatCode>General</c:formatCode>
                <c:ptCount val="3"/>
                <c:pt idx="0">
                  <c:v>5720</c:v>
                </c:pt>
                <c:pt idx="1">
                  <c:v>359800</c:v>
                </c:pt>
                <c:pt idx="2">
                  <c:v>15830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2a266d-8609-485a-8238-11b67141153c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[Workbook1]SOURCE OF DASHBOARD!sales recived by payment method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</a:rPr>
              <a:t> Sales By Payment Method</a:t>
            </a:r>
            <a:endParaRPr lang="en-US" altLang="zh-CN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5405971712939"/>
          <c:y val="0.307795497185741"/>
          <c:w val="0.377307490832897"/>
          <c:h val="0.675684803001876"/>
        </c:manualLayout>
      </c:layout>
      <c:doughnutChart>
        <c:varyColors val="1"/>
        <c:ser>
          <c:idx val="0"/>
          <c:order val="0"/>
          <c:tx>
            <c:strRef>
              <c:f>'SOURCE OF DASHBOARD'!$M$3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4874CB">
                  <a:lumMod val="50000"/>
                </a:srgb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993190151912"/>
                  <c:y val="-0.14751407129455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1" i="0" u="none" strike="noStrike" kern="1200" baseline="0">
                        <a:solidFill>
                          <a:sysClr val="windowText" lastClr="000000"/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 b="1">
                        <a:solidFill>
                          <a:sysClr val="windowText" lastClr="000000"/>
                        </a:solidFill>
                      </a:rPr>
                      <a:t>Cash</a:t>
                    </a:r>
                    <a:endParaRPr b="1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68805657412258"/>
                  <c:y val="0.051594746716697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1" i="0" u="none" strike="noStrike" kern="1200" baseline="0">
                        <a:solidFill>
                          <a:sysClr val="windowText" lastClr="000000"/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 b="1">
                        <a:solidFill>
                          <a:sysClr val="windowText" lastClr="000000"/>
                        </a:solidFill>
                      </a:rPr>
                      <a:t>Credit Card</a:t>
                    </a:r>
                    <a:endParaRPr b="1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44185437401781"/>
                  <c:y val="-0.0811444652908068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1" i="0" u="none" strike="noStrike" kern="1200" baseline="0">
                        <a:solidFill>
                          <a:sysClr val="windowText" lastClr="000000"/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 b="1">
                        <a:solidFill>
                          <a:sysClr val="windowText" lastClr="000000"/>
                        </a:solidFill>
                      </a:rPr>
                      <a:t>Debit Card</a:t>
                    </a:r>
                    <a:endParaRPr b="1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95023572551074"/>
                  <c:y val="-0.13273921200750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 forceAA="0"/>
                  <a:lstStyle/>
                  <a:p>
                    <a:pPr defTabSz="914400">
                      <a:defRPr lang="zh-CN" sz="1000" b="1" i="0" u="none" strike="noStrike" kern="1200" baseline="0">
                        <a:solidFill>
                          <a:sysClr val="windowText" lastClr="000000"/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 b="1">
                        <a:solidFill>
                          <a:sysClr val="windowText" lastClr="000000"/>
                        </a:solidFill>
                      </a:rPr>
                      <a:t>UPI</a:t>
                    </a:r>
                    <a:endParaRPr b="1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0990571035067274"/>
                      <c:h val="0.0623707239459029"/>
                    </c:manualLayout>
                  </c15:layout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ysClr val="windowText" lastClr="00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OF DASHBOARD'!$L$4:$L$8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'SOURCE OF DASHBOARD'!$M$4:$M$8</c:f>
              <c:numCache>
                <c:formatCode>General</c:formatCode>
                <c:ptCount val="4"/>
                <c:pt idx="0">
                  <c:v>9280</c:v>
                </c:pt>
                <c:pt idx="1">
                  <c:v>296000</c:v>
                </c:pt>
                <c:pt idx="2">
                  <c:v>32400</c:v>
                </c:pt>
                <c:pt idx="3">
                  <c:v>43670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97f5af-5adf-4859-84f0-e2aa360c2162}"/>
      </c:ext>
    </c:extLst>
  </c:chart>
  <c:spPr>
    <a:solidFill>
      <a:sysClr val="window" lastClr="FFFFFF">
        <a:lumMod val="7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[Workbook1]SOURCE OF DASHBOARD!monthly trend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Monthly Trend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343685581209"/>
          <c:y val="0.254798593773016"/>
          <c:w val="0.856250826828946"/>
          <c:h val="0.593375511723111"/>
        </c:manualLayout>
      </c:layout>
      <c:lineChart>
        <c:grouping val="standard"/>
        <c:varyColors val="0"/>
        <c:ser>
          <c:idx val="0"/>
          <c:order val="0"/>
          <c:tx>
            <c:strRef>
              <c:f>'SOURCE OF DASHBOARD'!$P$3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'SOURCE OF DASHBOARD'!$O$4:$O$13</c:f>
              <c:strCache>
                <c:ptCount val="9"/>
                <c:pt idx="0">
                  <c:v>Jan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</c:strCache>
            </c:strRef>
          </c:cat>
          <c:val>
            <c:numRef>
              <c:f>'SOURCE OF DASHBOARD'!$P$4:$P$13</c:f>
              <c:numCache>
                <c:formatCode>General</c:formatCode>
                <c:ptCount val="9"/>
                <c:pt idx="0">
                  <c:v>193960</c:v>
                </c:pt>
                <c:pt idx="1">
                  <c:v>32850</c:v>
                </c:pt>
                <c:pt idx="2">
                  <c:v>6300</c:v>
                </c:pt>
                <c:pt idx="3">
                  <c:v>21700</c:v>
                </c:pt>
                <c:pt idx="4">
                  <c:v>32200</c:v>
                </c:pt>
                <c:pt idx="5">
                  <c:v>6720</c:v>
                </c:pt>
                <c:pt idx="6">
                  <c:v>41850</c:v>
                </c:pt>
                <c:pt idx="7">
                  <c:v>18720</c:v>
                </c:pt>
                <c:pt idx="8">
                  <c:v>27050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89599"/>
        <c:axId val="223133754"/>
      </c:lineChart>
      <c:catAx>
        <c:axId val="185389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23133754"/>
        <c:crosses val="autoZero"/>
        <c:auto val="1"/>
        <c:lblAlgn val="ctr"/>
        <c:lblOffset val="100"/>
        <c:noMultiLvlLbl val="0"/>
      </c:catAx>
      <c:valAx>
        <c:axId val="2231337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538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fdc7e4-9c2f-433a-b931-0950fdddb345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323850</xdr:colOff>
      <xdr:row>10</xdr:row>
      <xdr:rowOff>196215</xdr:rowOff>
    </xdr:from>
    <xdr:to>
      <xdr:col>13</xdr:col>
      <xdr:colOff>420370</xdr:colOff>
      <xdr:row>49</xdr:row>
      <xdr:rowOff>124460</xdr:rowOff>
    </xdr:to>
    <xdr:graphicFrame>
      <xdr:nvGraphicFramePr>
        <xdr:cNvPr id="2" name="Sales By City"/>
        <xdr:cNvGraphicFramePr/>
      </xdr:nvGraphicFramePr>
      <xdr:xfrm>
        <a:off x="3799205" y="2715260"/>
        <a:ext cx="6292215" cy="8249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617855</xdr:colOff>
      <xdr:row>10</xdr:row>
      <xdr:rowOff>196215</xdr:rowOff>
    </xdr:from>
    <xdr:to>
      <xdr:col>21</xdr:col>
      <xdr:colOff>557530</xdr:colOff>
      <xdr:row>29</xdr:row>
      <xdr:rowOff>149860</xdr:rowOff>
    </xdr:to>
    <xdr:graphicFrame>
      <xdr:nvGraphicFramePr>
        <xdr:cNvPr id="3" name="Sales By Product Category"/>
        <xdr:cNvGraphicFramePr/>
      </xdr:nvGraphicFramePr>
      <xdr:xfrm>
        <a:off x="10288905" y="2715260"/>
        <a:ext cx="5920105" cy="4007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29210</xdr:colOff>
      <xdr:row>30</xdr:row>
      <xdr:rowOff>185420</xdr:rowOff>
    </xdr:from>
    <xdr:to>
      <xdr:col>29</xdr:col>
      <xdr:colOff>700405</xdr:colOff>
      <xdr:row>49</xdr:row>
      <xdr:rowOff>154940</xdr:rowOff>
    </xdr:to>
    <xdr:graphicFrame>
      <xdr:nvGraphicFramePr>
        <xdr:cNvPr id="4" name="Sales By Store Type"/>
        <xdr:cNvGraphicFramePr/>
      </xdr:nvGraphicFramePr>
      <xdr:xfrm>
        <a:off x="16473805" y="6971665"/>
        <a:ext cx="6080125" cy="402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608330</xdr:colOff>
      <xdr:row>30</xdr:row>
      <xdr:rowOff>185420</xdr:rowOff>
    </xdr:from>
    <xdr:to>
      <xdr:col>21</xdr:col>
      <xdr:colOff>548640</xdr:colOff>
      <xdr:row>49</xdr:row>
      <xdr:rowOff>154940</xdr:rowOff>
    </xdr:to>
    <xdr:graphicFrame>
      <xdr:nvGraphicFramePr>
        <xdr:cNvPr id="5" name="Sales Recived bBy Payment Method" descr="7b0a202020202263686172745265734964223a202234333631363836220a7d0a"/>
        <xdr:cNvGraphicFramePr/>
      </xdr:nvGraphicFramePr>
      <xdr:xfrm>
        <a:off x="10279380" y="6971665"/>
        <a:ext cx="5920740" cy="402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27305</xdr:colOff>
      <xdr:row>10</xdr:row>
      <xdr:rowOff>196215</xdr:rowOff>
    </xdr:from>
    <xdr:to>
      <xdr:col>29</xdr:col>
      <xdr:colOff>694690</xdr:colOff>
      <xdr:row>29</xdr:row>
      <xdr:rowOff>165735</xdr:rowOff>
    </xdr:to>
    <xdr:graphicFrame>
      <xdr:nvGraphicFramePr>
        <xdr:cNvPr id="6" name="Monthly Trend"/>
        <xdr:cNvGraphicFramePr/>
      </xdr:nvGraphicFramePr>
      <xdr:xfrm>
        <a:off x="16471900" y="2715260"/>
        <a:ext cx="6076315" cy="402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</xdr:col>
      <xdr:colOff>50165</xdr:colOff>
      <xdr:row>11</xdr:row>
      <xdr:rowOff>14605</xdr:rowOff>
    </xdr:from>
    <xdr:to>
      <xdr:col>5</xdr:col>
      <xdr:colOff>128905</xdr:colOff>
      <xdr:row>28</xdr:row>
      <xdr:rowOff>182245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tore_type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440" y="2747010"/>
              <a:ext cx="3004820" cy="379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49530</xdr:colOff>
      <xdr:row>30</xdr:row>
      <xdr:rowOff>123825</xdr:rowOff>
    </xdr:from>
    <xdr:to>
      <xdr:col>5</xdr:col>
      <xdr:colOff>126365</xdr:colOff>
      <xdr:row>48</xdr:row>
      <xdr:rowOff>40005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product_category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805" y="6910070"/>
              <a:ext cx="3002915" cy="3756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0</xdr:colOff>
      <xdr:row>0</xdr:row>
      <xdr:rowOff>135890</xdr:rowOff>
    </xdr:from>
    <xdr:to>
      <xdr:col>30</xdr:col>
      <xdr:colOff>15875</xdr:colOff>
      <xdr:row>5</xdr:row>
      <xdr:rowOff>61595</xdr:rowOff>
    </xdr:to>
    <xdr:sp>
      <xdr:nvSpPr>
        <xdr:cNvPr id="15" name="Rounded Rectangle 14"/>
        <xdr:cNvSpPr/>
      </xdr:nvSpPr>
      <xdr:spPr>
        <a:xfrm>
          <a:off x="549275" y="135890"/>
          <a:ext cx="22113875" cy="9925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4400">
              <a:solidFill>
                <a:schemeClr val="bg1"/>
              </a:solidFill>
            </a:rPr>
            <a:t>SALES DASHBOARD</a:t>
          </a:r>
          <a:endParaRPr lang="en-US" sz="4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51435</xdr:colOff>
      <xdr:row>50</xdr:row>
      <xdr:rowOff>39370</xdr:rowOff>
    </xdr:from>
    <xdr:to>
      <xdr:col>17</xdr:col>
      <xdr:colOff>14605</xdr:colOff>
      <xdr:row>66</xdr:row>
      <xdr:rowOff>33655</xdr:rowOff>
    </xdr:to>
    <xdr:sp>
      <xdr:nvSpPr>
        <xdr:cNvPr id="16" name="Rounded Rectangle 15"/>
        <xdr:cNvSpPr/>
      </xdr:nvSpPr>
      <xdr:spPr>
        <a:xfrm>
          <a:off x="600710" y="11092815"/>
          <a:ext cx="12139295" cy="340804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17</xdr:col>
      <xdr:colOff>238125</xdr:colOff>
      <xdr:row>50</xdr:row>
      <xdr:rowOff>38100</xdr:rowOff>
    </xdr:from>
    <xdr:to>
      <xdr:col>29</xdr:col>
      <xdr:colOff>700405</xdr:colOff>
      <xdr:row>66</xdr:row>
      <xdr:rowOff>34290</xdr:rowOff>
    </xdr:to>
    <xdr:sp>
      <xdr:nvSpPr>
        <xdr:cNvPr id="17" name="Rounded Rectangle 16"/>
        <xdr:cNvSpPr/>
      </xdr:nvSpPr>
      <xdr:spPr>
        <a:xfrm>
          <a:off x="12963525" y="11091545"/>
          <a:ext cx="9590405" cy="3409950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208280</xdr:colOff>
      <xdr:row>6</xdr:row>
      <xdr:rowOff>201930</xdr:rowOff>
    </xdr:from>
    <xdr:to>
      <xdr:col>13</xdr:col>
      <xdr:colOff>219075</xdr:colOff>
      <xdr:row>8</xdr:row>
      <xdr:rowOff>306705</xdr:rowOff>
    </xdr:to>
    <xdr:pic>
      <xdr:nvPicPr>
        <xdr:cNvPr id="19" name="Picture 18" descr="clipboard_image___for_orders_-removebg-preview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147810" y="1482090"/>
          <a:ext cx="742315" cy="683895"/>
        </a:xfrm>
        <a:prstGeom prst="rect">
          <a:avLst/>
        </a:prstGeom>
      </xdr:spPr>
    </xdr:pic>
    <xdr:clientData/>
  </xdr:twoCellAnchor>
  <xdr:twoCellAnchor editAs="oneCell">
    <xdr:from>
      <xdr:col>6</xdr:col>
      <xdr:colOff>240030</xdr:colOff>
      <xdr:row>6</xdr:row>
      <xdr:rowOff>166370</xdr:rowOff>
    </xdr:from>
    <xdr:to>
      <xdr:col>7</xdr:col>
      <xdr:colOff>249555</xdr:colOff>
      <xdr:row>8</xdr:row>
      <xdr:rowOff>330835</xdr:rowOff>
    </xdr:to>
    <xdr:pic>
      <xdr:nvPicPr>
        <xdr:cNvPr id="22" name="Picture 21" descr="dollar coin image"/>
        <xdr:cNvPicPr>
          <a:picLocks noChangeAspect="1"/>
        </xdr:cNvPicPr>
      </xdr:nvPicPr>
      <xdr:blipFill>
        <a:blip r:embed="rId7"/>
        <a:srcRect l="24138" t="24508" r="24239" b="24969"/>
        <a:stretch>
          <a:fillRect/>
        </a:stretch>
      </xdr:blipFill>
      <xdr:spPr>
        <a:xfrm>
          <a:off x="4446905" y="1446530"/>
          <a:ext cx="741045" cy="743585"/>
        </a:xfrm>
        <a:prstGeom prst="ellipse">
          <a:avLst/>
        </a:prstGeom>
      </xdr:spPr>
    </xdr:pic>
    <xdr:clientData/>
  </xdr:twoCellAnchor>
  <xdr:twoCellAnchor editAs="oneCell">
    <xdr:from>
      <xdr:col>18</xdr:col>
      <xdr:colOff>160020</xdr:colOff>
      <xdr:row>6</xdr:row>
      <xdr:rowOff>152400</xdr:rowOff>
    </xdr:from>
    <xdr:to>
      <xdr:col>19</xdr:col>
      <xdr:colOff>55880</xdr:colOff>
      <xdr:row>8</xdr:row>
      <xdr:rowOff>428625</xdr:rowOff>
    </xdr:to>
    <xdr:pic>
      <xdr:nvPicPr>
        <xdr:cNvPr id="23" name="Picture 22" descr="transaction_logo-removebg-preview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616940" y="1432560"/>
          <a:ext cx="627380" cy="855345"/>
        </a:xfrm>
        <a:prstGeom prst="rect">
          <a:avLst/>
        </a:prstGeom>
      </xdr:spPr>
    </xdr:pic>
    <xdr:clientData/>
  </xdr:twoCellAnchor>
  <xdr:twoCellAnchor editAs="oneCell">
    <xdr:from>
      <xdr:col>23</xdr:col>
      <xdr:colOff>675640</xdr:colOff>
      <xdr:row>6</xdr:row>
      <xdr:rowOff>96520</xdr:rowOff>
    </xdr:from>
    <xdr:to>
      <xdr:col>25</xdr:col>
      <xdr:colOff>222250</xdr:colOff>
      <xdr:row>9</xdr:row>
      <xdr:rowOff>85725</xdr:rowOff>
    </xdr:to>
    <xdr:pic>
      <xdr:nvPicPr>
        <xdr:cNvPr id="24" name="Picture 23" descr="avg_transaction-removebg-preview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847945" y="1376680"/>
          <a:ext cx="1009650" cy="1005205"/>
        </a:xfrm>
        <a:prstGeom prst="rect">
          <a:avLst/>
        </a:prstGeom>
      </xdr:spPr>
    </xdr:pic>
    <xdr:clientData/>
  </xdr:twoCellAnchor>
  <xdr:twoCellAnchor>
    <xdr:from>
      <xdr:col>27</xdr:col>
      <xdr:colOff>15875</xdr:colOff>
      <xdr:row>1</xdr:row>
      <xdr:rowOff>127635</xdr:rowOff>
    </xdr:from>
    <xdr:to>
      <xdr:col>29</xdr:col>
      <xdr:colOff>497205</xdr:colOff>
      <xdr:row>5</xdr:row>
      <xdr:rowOff>81915</xdr:rowOff>
    </xdr:to>
    <xdr:sp>
      <xdr:nvSpPr>
        <xdr:cNvPr id="25" name="Text Box 24"/>
        <xdr:cNvSpPr txBox="1"/>
      </xdr:nvSpPr>
      <xdr:spPr>
        <a:xfrm>
          <a:off x="20114260" y="340995"/>
          <a:ext cx="2236470" cy="807720"/>
        </a:xfrm>
        <a:prstGeom prst="rect">
          <a:avLst/>
        </a:prstGeom>
        <a:ln w="12700" cap="flat" cmpd="sng" algn="ctr">
          <a:noFill/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1200">
              <a:solidFill>
                <a:schemeClr val="bg1"/>
              </a:solidFill>
            </a:rPr>
            <a:t>DATE UPDATED THROUGH :</a:t>
          </a:r>
          <a:endParaRPr lang="en-US" sz="1200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01-12-2025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25</xdr:col>
      <xdr:colOff>502285</xdr:colOff>
      <xdr:row>0</xdr:row>
      <xdr:rowOff>181610</xdr:rowOff>
    </xdr:from>
    <xdr:to>
      <xdr:col>27</xdr:col>
      <xdr:colOff>15240</xdr:colOff>
      <xdr:row>4</xdr:row>
      <xdr:rowOff>191135</xdr:rowOff>
    </xdr:to>
    <xdr:pic>
      <xdr:nvPicPr>
        <xdr:cNvPr id="26" name="Picture 25" descr="CALENDER_LOGO-removebg-preview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137630" y="181610"/>
          <a:ext cx="975995" cy="862965"/>
        </a:xfrm>
        <a:prstGeom prst="rect">
          <a:avLst/>
        </a:prstGeom>
      </xdr:spPr>
    </xdr:pic>
    <xdr:clientData/>
  </xdr:twoCellAnchor>
  <xdr:twoCellAnchor editAs="oneCell">
    <xdr:from>
      <xdr:col>1</xdr:col>
      <xdr:colOff>52070</xdr:colOff>
      <xdr:row>5</xdr:row>
      <xdr:rowOff>130175</xdr:rowOff>
    </xdr:from>
    <xdr:to>
      <xdr:col>5</xdr:col>
      <xdr:colOff>123190</xdr:colOff>
      <xdr:row>10</xdr:row>
      <xdr:rowOff>151130</xdr:rowOff>
    </xdr:to>
    <xdr:pic>
      <xdr:nvPicPr>
        <xdr:cNvPr id="27" name="Picture 2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01345" y="1196975"/>
          <a:ext cx="2997200" cy="147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412115</xdr:colOff>
      <xdr:row>49</xdr:row>
      <xdr:rowOff>211455</xdr:rowOff>
    </xdr:from>
    <xdr:to>
      <xdr:col>16</xdr:col>
      <xdr:colOff>321945</xdr:colOff>
      <xdr:row>66</xdr:row>
      <xdr:rowOff>88265</xdr:rowOff>
    </xdr:to>
    <xdr:sp>
      <xdr:nvSpPr>
        <xdr:cNvPr id="28" name="Text Box 27"/>
        <xdr:cNvSpPr txBox="1"/>
      </xdr:nvSpPr>
      <xdr:spPr>
        <a:xfrm>
          <a:off x="961390" y="11051540"/>
          <a:ext cx="11354435" cy="350393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3200">
              <a:solidFill>
                <a:schemeClr val="accent5">
                  <a:lumMod val="75000"/>
                </a:schemeClr>
              </a:solidFill>
            </a:rPr>
            <a:t>Key Insights :</a:t>
          </a:r>
          <a:endParaRPr lang="en-US" sz="3200">
            <a:solidFill>
              <a:schemeClr val="accent5">
                <a:lumMod val="75000"/>
              </a:schemeClr>
            </a:solidFill>
          </a:endParaRPr>
        </a:p>
        <a:p>
          <a:pPr algn="l"/>
          <a:endParaRPr lang="en-US" sz="16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US" sz="1600">
              <a:solidFill>
                <a:sysClr val="windowText" lastClr="000000"/>
              </a:solidFill>
            </a:rPr>
            <a:t>Gurgaon generated the highest sale at </a:t>
          </a:r>
          <a:r>
            <a:rPr lang="en-US" sz="1600" b="1">
              <a:solidFill>
                <a:sysClr val="windowText" lastClr="000000"/>
              </a:solidFill>
            </a:rPr>
            <a:t>₹ 40,000</a:t>
          </a:r>
          <a:r>
            <a:rPr lang="en-US" sz="1600">
              <a:solidFill>
                <a:sysClr val="windowText" lastClr="000000"/>
              </a:solidFill>
            </a:rPr>
            <a:t> followed by Panipat at </a:t>
          </a:r>
          <a:r>
            <a:rPr lang="en-US" sz="1600" b="1">
              <a:solidFill>
                <a:sysClr val="windowText" lastClr="000000"/>
              </a:solidFill>
              <a:sym typeface="+mn-ea"/>
            </a:rPr>
            <a:t>₹ 36,000.</a:t>
          </a:r>
          <a:endParaRPr lang="en-US" sz="1600">
            <a:solidFill>
              <a:sysClr val="windowText" lastClr="000000"/>
            </a:solidFill>
          </a:endParaRPr>
        </a:p>
        <a:p>
          <a:pPr algn="l"/>
          <a:endParaRPr lang="en-US" sz="1600">
            <a:solidFill>
              <a:sysClr val="windowText" lastClr="000000"/>
            </a:solidFill>
          </a:endParaRPr>
        </a:p>
        <a:p>
          <a:pPr algn="l"/>
          <a:r>
            <a:rPr lang="en-US" sz="1600">
              <a:solidFill>
                <a:sysClr val="windowText" lastClr="000000"/>
              </a:solidFill>
            </a:rPr>
            <a:t>Electronics generated the highest sales at </a:t>
          </a:r>
          <a:r>
            <a:rPr lang="en-US" sz="1600" b="1">
              <a:solidFill>
                <a:sysClr val="windowText" lastClr="000000"/>
              </a:solidFill>
              <a:sym typeface="+mn-ea"/>
            </a:rPr>
            <a:t>₹ </a:t>
          </a:r>
          <a:r>
            <a:rPr lang="en-US" sz="1600" b="1">
              <a:solidFill>
                <a:sysClr val="windowText" lastClr="000000"/>
              </a:solidFill>
            </a:rPr>
            <a:t>2,96,000 </a:t>
          </a:r>
          <a:r>
            <a:rPr lang="en-US" sz="1600">
              <a:solidFill>
                <a:sysClr val="windowText" lastClr="000000"/>
              </a:solidFill>
            </a:rPr>
            <a:t>followed by Clothing at </a:t>
          </a:r>
          <a:r>
            <a:rPr lang="en-US" sz="1600" b="1">
              <a:solidFill>
                <a:sysClr val="windowText" lastClr="000000"/>
              </a:solidFill>
              <a:sym typeface="+mn-ea"/>
            </a:rPr>
            <a:t>₹ </a:t>
          </a:r>
          <a:r>
            <a:rPr lang="en-US" sz="1600" b="1">
              <a:solidFill>
                <a:sysClr val="windowText" lastClr="000000"/>
              </a:solidFill>
            </a:rPr>
            <a:t>63,800.</a:t>
          </a:r>
          <a:endParaRPr lang="en-US" sz="1600" b="1">
            <a:solidFill>
              <a:sysClr val="windowText" lastClr="000000"/>
            </a:solidFill>
          </a:endParaRPr>
        </a:p>
        <a:p>
          <a:pPr algn="l"/>
          <a:endParaRPr lang="en-US" sz="1600">
            <a:solidFill>
              <a:sysClr val="windowText" lastClr="000000"/>
            </a:solidFill>
          </a:endParaRPr>
        </a:p>
        <a:p>
          <a:pPr algn="l"/>
          <a:r>
            <a:rPr lang="en-US" sz="1600">
              <a:solidFill>
                <a:sysClr val="windowText" lastClr="000000"/>
              </a:solidFill>
            </a:rPr>
            <a:t>Sales declined sharply from January to May and continued to fluctuate through the remaining months.</a:t>
          </a:r>
          <a:endParaRPr lang="en-US" sz="1600">
            <a:solidFill>
              <a:sysClr val="windowText" lastClr="000000"/>
            </a:solidFill>
          </a:endParaRPr>
        </a:p>
        <a:p>
          <a:pPr algn="l"/>
          <a:endParaRPr lang="en-US" sz="1600">
            <a:solidFill>
              <a:sysClr val="windowText" lastClr="000000"/>
            </a:solidFill>
          </a:endParaRPr>
        </a:p>
        <a:p>
          <a:pPr algn="l"/>
          <a:r>
            <a:rPr lang="en-US" sz="1600">
              <a:solidFill>
                <a:sysClr val="windowText" lastClr="000000"/>
              </a:solidFill>
            </a:rPr>
            <a:t>Highest payment recieved through Credit Card (</a:t>
          </a:r>
          <a:r>
            <a:rPr lang="en-US" sz="1600" b="1">
              <a:solidFill>
                <a:sysClr val="windowText" lastClr="000000"/>
              </a:solidFill>
              <a:sym typeface="+mn-ea"/>
            </a:rPr>
            <a:t>₹</a:t>
          </a:r>
          <a:r>
            <a:rPr lang="en-US" sz="1600" b="1">
              <a:solidFill>
                <a:sysClr val="windowText" lastClr="000000"/>
              </a:solidFill>
            </a:rPr>
            <a:t>2,96,000).</a:t>
          </a:r>
          <a:endParaRPr lang="en-US" sz="1600">
            <a:solidFill>
              <a:sysClr val="windowText" lastClr="000000"/>
            </a:solidFill>
          </a:endParaRPr>
        </a:p>
        <a:p>
          <a:pPr algn="l"/>
          <a:endParaRPr lang="en-US" sz="1600">
            <a:solidFill>
              <a:sysClr val="windowText" lastClr="000000"/>
            </a:solidFill>
          </a:endParaRPr>
        </a:p>
        <a:p>
          <a:pPr algn="l"/>
          <a:r>
            <a:rPr lang="en-US" sz="1600">
              <a:solidFill>
                <a:sysClr val="windowText" lastClr="000000"/>
              </a:solidFill>
            </a:rPr>
            <a:t>Mall store generate the higest sales at </a:t>
          </a:r>
          <a:r>
            <a:rPr lang="en-US" sz="1600" b="1">
              <a:solidFill>
                <a:sysClr val="windowText" lastClr="000000"/>
              </a:solidFill>
              <a:sym typeface="+mn-ea"/>
            </a:rPr>
            <a:t>₹ 3,59,800</a:t>
          </a:r>
          <a:r>
            <a:rPr lang="en-US" sz="1600">
              <a:solidFill>
                <a:sysClr val="windowText" lastClr="000000"/>
              </a:solidFill>
            </a:rPr>
            <a:t>.</a:t>
          </a:r>
          <a:endParaRPr lang="en-US" sz="1600">
            <a:solidFill>
              <a:sysClr val="windowText" lastClr="000000"/>
            </a:solidFill>
          </a:endParaRPr>
        </a:p>
        <a:p>
          <a:pPr algn="l"/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272415</xdr:colOff>
      <xdr:row>54</xdr:row>
      <xdr:rowOff>129540</xdr:rowOff>
    </xdr:from>
    <xdr:to>
      <xdr:col>1</xdr:col>
      <xdr:colOff>408940</xdr:colOff>
      <xdr:row>54</xdr:row>
      <xdr:rowOff>205105</xdr:rowOff>
    </xdr:to>
    <xdr:sp>
      <xdr:nvSpPr>
        <xdr:cNvPr id="29" name="Oval 28"/>
        <xdr:cNvSpPr/>
      </xdr:nvSpPr>
      <xdr:spPr>
        <a:xfrm>
          <a:off x="821690" y="12036425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272415</xdr:colOff>
      <xdr:row>57</xdr:row>
      <xdr:rowOff>17780</xdr:rowOff>
    </xdr:from>
    <xdr:to>
      <xdr:col>1</xdr:col>
      <xdr:colOff>408940</xdr:colOff>
      <xdr:row>57</xdr:row>
      <xdr:rowOff>93345</xdr:rowOff>
    </xdr:to>
    <xdr:sp>
      <xdr:nvSpPr>
        <xdr:cNvPr id="30" name="Oval 29"/>
        <xdr:cNvSpPr/>
      </xdr:nvSpPr>
      <xdr:spPr>
        <a:xfrm>
          <a:off x="821690" y="12564745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272415</xdr:colOff>
      <xdr:row>64</xdr:row>
      <xdr:rowOff>194945</xdr:rowOff>
    </xdr:from>
    <xdr:to>
      <xdr:col>1</xdr:col>
      <xdr:colOff>408940</xdr:colOff>
      <xdr:row>65</xdr:row>
      <xdr:rowOff>57150</xdr:rowOff>
    </xdr:to>
    <xdr:sp>
      <xdr:nvSpPr>
        <xdr:cNvPr id="31" name="Oval 30"/>
        <xdr:cNvSpPr/>
      </xdr:nvSpPr>
      <xdr:spPr>
        <a:xfrm>
          <a:off x="821690" y="14235430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272415</xdr:colOff>
      <xdr:row>62</xdr:row>
      <xdr:rowOff>50800</xdr:rowOff>
    </xdr:from>
    <xdr:to>
      <xdr:col>1</xdr:col>
      <xdr:colOff>408940</xdr:colOff>
      <xdr:row>62</xdr:row>
      <xdr:rowOff>126365</xdr:rowOff>
    </xdr:to>
    <xdr:sp>
      <xdr:nvSpPr>
        <xdr:cNvPr id="32" name="Oval 31"/>
        <xdr:cNvSpPr/>
      </xdr:nvSpPr>
      <xdr:spPr>
        <a:xfrm>
          <a:off x="821690" y="13664565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272415</xdr:colOff>
      <xdr:row>59</xdr:row>
      <xdr:rowOff>149225</xdr:rowOff>
    </xdr:from>
    <xdr:to>
      <xdr:col>1</xdr:col>
      <xdr:colOff>408940</xdr:colOff>
      <xdr:row>60</xdr:row>
      <xdr:rowOff>11430</xdr:rowOff>
    </xdr:to>
    <xdr:sp>
      <xdr:nvSpPr>
        <xdr:cNvPr id="33" name="Oval 32"/>
        <xdr:cNvSpPr/>
      </xdr:nvSpPr>
      <xdr:spPr>
        <a:xfrm>
          <a:off x="821690" y="13122910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85090</xdr:colOff>
      <xdr:row>50</xdr:row>
      <xdr:rowOff>74930</xdr:rowOff>
    </xdr:from>
    <xdr:to>
      <xdr:col>29</xdr:col>
      <xdr:colOff>140335</xdr:colOff>
      <xdr:row>66</xdr:row>
      <xdr:rowOff>22860</xdr:rowOff>
    </xdr:to>
    <xdr:sp>
      <xdr:nvSpPr>
        <xdr:cNvPr id="34" name="Text Box 33"/>
        <xdr:cNvSpPr txBox="1"/>
      </xdr:nvSpPr>
      <xdr:spPr>
        <a:xfrm>
          <a:off x="13542010" y="11128375"/>
          <a:ext cx="8451850" cy="336169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3200">
              <a:solidFill>
                <a:schemeClr val="accent6">
                  <a:lumMod val="50000"/>
                </a:schemeClr>
              </a:solidFill>
            </a:rPr>
            <a:t>Recommendations :</a:t>
          </a:r>
          <a:endParaRPr lang="en-US" sz="3200"/>
        </a:p>
        <a:p>
          <a:pPr algn="l"/>
          <a:endParaRPr lang="en-US" sz="1600"/>
        </a:p>
        <a:p>
          <a:pPr algn="l"/>
          <a:r>
            <a:rPr lang="en-US" sz="1600"/>
            <a:t>Investigate the factors driving Gurgaon’s strong sales performance and assess whether successful practices can be applied to other cities.</a:t>
          </a:r>
          <a:endParaRPr lang="en-US" sz="1600"/>
        </a:p>
        <a:p>
          <a:pPr algn="l"/>
          <a:endParaRPr lang="en-US" sz="1600"/>
        </a:p>
        <a:p>
          <a:pPr algn="l"/>
          <a:r>
            <a:rPr lang="en-US" sz="1600"/>
            <a:t>Investigate why Mall Stores contribute the majority of sales and assess opportunities to strengthen performance across other store types.</a:t>
          </a:r>
          <a:endParaRPr lang="en-US" sz="1600"/>
        </a:p>
        <a:p>
          <a:pPr algn="l"/>
          <a:endParaRPr lang="en-US" sz="1600"/>
        </a:p>
        <a:p>
          <a:pPr algn="l"/>
          <a:r>
            <a:rPr lang="en-US" sz="1600"/>
            <a:t>Investigate the sharp sales decline after January and identify the factors behind the monthly fluctuations.</a:t>
          </a:r>
          <a:endParaRPr lang="en-US" sz="1600"/>
        </a:p>
      </xdr:txBody>
    </xdr:sp>
    <xdr:clientData/>
  </xdr:twoCellAnchor>
  <xdr:twoCellAnchor>
    <xdr:from>
      <xdr:col>17</xdr:col>
      <xdr:colOff>624840</xdr:colOff>
      <xdr:row>54</xdr:row>
      <xdr:rowOff>175260</xdr:rowOff>
    </xdr:from>
    <xdr:to>
      <xdr:col>18</xdr:col>
      <xdr:colOff>29845</xdr:colOff>
      <xdr:row>55</xdr:row>
      <xdr:rowOff>37465</xdr:rowOff>
    </xdr:to>
    <xdr:sp>
      <xdr:nvSpPr>
        <xdr:cNvPr id="35" name="Oval 34"/>
        <xdr:cNvSpPr/>
      </xdr:nvSpPr>
      <xdr:spPr>
        <a:xfrm>
          <a:off x="13350240" y="12082145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624840</xdr:colOff>
      <xdr:row>58</xdr:row>
      <xdr:rowOff>173355</xdr:rowOff>
    </xdr:from>
    <xdr:to>
      <xdr:col>18</xdr:col>
      <xdr:colOff>29845</xdr:colOff>
      <xdr:row>59</xdr:row>
      <xdr:rowOff>35560</xdr:rowOff>
    </xdr:to>
    <xdr:sp>
      <xdr:nvSpPr>
        <xdr:cNvPr id="36" name="Oval 35"/>
        <xdr:cNvSpPr/>
      </xdr:nvSpPr>
      <xdr:spPr>
        <a:xfrm>
          <a:off x="13350240" y="12933680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624840</xdr:colOff>
      <xdr:row>62</xdr:row>
      <xdr:rowOff>140970</xdr:rowOff>
    </xdr:from>
    <xdr:to>
      <xdr:col>18</xdr:col>
      <xdr:colOff>29845</xdr:colOff>
      <xdr:row>63</xdr:row>
      <xdr:rowOff>3175</xdr:rowOff>
    </xdr:to>
    <xdr:sp>
      <xdr:nvSpPr>
        <xdr:cNvPr id="37" name="Oval 36"/>
        <xdr:cNvSpPr/>
      </xdr:nvSpPr>
      <xdr:spPr>
        <a:xfrm>
          <a:off x="13350240" y="13754735"/>
          <a:ext cx="136525" cy="75565"/>
        </a:xfrm>
        <a:prstGeom prst="ellipse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4.7221180556" refreshedBy="kunalji" recordCount="50">
  <cacheSource type="worksheet">
    <worksheetSource ref="A1:J51" sheet="DATA"/>
  </cacheSource>
  <cacheFields count="10">
    <cacheField name="bill_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customer_name" numFmtId="0">
      <sharedItems count="50">
        <s v="Rahul Sharma"/>
        <s v="Priya Verma"/>
        <s v="Amit Patel"/>
        <s v="Neha Singh"/>
        <s v="Rohit Kumar"/>
        <s v="Anjali Mehta"/>
        <s v="Suresh Yadav"/>
        <s v="Kavita Joshi"/>
        <s v="Vikas Mishra"/>
        <s v="Pooja Agarwal"/>
        <s v="Manish Gupta"/>
        <s v="Shalini Jain"/>
        <s v="Deepak Verma"/>
        <s v="Ritu Saxena"/>
        <s v="Nitin Malhotra"/>
        <s v="Sonal Choudhary"/>
        <s v="Akash Tiwari"/>
        <s v="Meena Kapoor"/>
        <s v="Kunal Bansal"/>
        <s v="Swati Kulkarni"/>
        <s v="Rakesh Pandey"/>
        <s v="Isha Malviya"/>
        <s v="Harsh Vardhan"/>
        <s v="Namita Arora"/>
        <s v="Sachin Deshmukh"/>
        <s v="Preeti Kulkarni"/>
        <s v="Mohit Jain"/>
        <s v="Alok Srivastava"/>
        <s v="Sunita Rani"/>
        <s v="Vinayak Patil"/>
        <s v="Pankaj Sharma"/>
        <s v="Ayesha Khan"/>
        <s v="Tushar Goyal"/>
        <s v="Nisha Bajaj"/>
        <s v="Sandeep Rathore"/>
        <s v="Rupal Shah"/>
        <s v="Ajay Thakur"/>
        <s v="Monika Arora"/>
        <s v="Prakash Nair"/>
        <s v="Lata Menon"/>
        <s v="Naveen Reddy"/>
        <s v="Karthik Iyer"/>
        <s v="Sneha Kulkarni"/>
        <s v="Ramesh Pawar"/>
        <s v="Divya Joshi"/>
        <s v="Arvind Mishra"/>
        <s v="Bhavesh Modi"/>
        <s v="Nandini Rao"/>
        <s v="Sanjay Shetty"/>
        <s v="Pritam Das"/>
      </sharedItems>
    </cacheField>
    <cacheField name="city" numFmtId="0">
      <sharedItems count="49">
        <s v="Delhi"/>
        <s v="Mumbai"/>
        <s v="Ahmedabad"/>
        <s v="Lucknow"/>
        <s v="Patna"/>
        <s v="Pune"/>
        <s v="Jaipur"/>
        <s v="Indore"/>
        <s v="Bhopal"/>
        <s v="Kolkata"/>
        <s v="Kanpur"/>
        <s v="Udaipur"/>
        <s v="Noida"/>
        <s v="Agra"/>
        <s v="Gurgaon"/>
        <s v="Jodhpur"/>
        <s v="Rewa"/>
        <s v="Chandigarh"/>
        <s v="Faridabad"/>
        <s v="Nagpur"/>
        <s v="Varanasi"/>
        <s v="Ratlam"/>
        <s v="Meerut"/>
        <s v="Amritsar"/>
        <s v="Nashik"/>
        <s v="Solapur"/>
        <s v="Kota"/>
        <s v="Prayagraj"/>
        <s v="Hisar"/>
        <s v="Kolhapur"/>
        <s v="Rohtak"/>
        <s v="Panipat"/>
        <s v="Ludhiana"/>
        <s v="Gwalior"/>
        <s v="Surat"/>
        <s v="Bilaspur"/>
        <s v="Panchkula"/>
        <s v="Kochi"/>
        <s v="Trivandrum"/>
        <s v="Hyderabad"/>
        <s v="Chennai"/>
        <s v="Satara"/>
        <s v="Sangli"/>
        <s v="Dehradun"/>
        <s v="Gorakhpur"/>
        <s v="Rajkot"/>
        <s v="Bengaluru"/>
        <s v="Mangalore"/>
        <s v="Siliguri"/>
      </sharedItems>
    </cacheField>
    <cacheField name="product_category" numFmtId="0">
      <sharedItems count="4">
        <s v="Grocery"/>
        <s v="Electronics"/>
        <s v="Clothing"/>
        <s v="Stationery"/>
      </sharedItems>
    </cacheField>
    <cacheField name="quantity" numFmtId="0">
      <sharedItems containsSemiMixedTypes="0" containsString="0" containsNumber="1" containsInteger="1" minValue="1" maxValue="12" count="12">
        <n v="5"/>
        <n v="1"/>
        <n v="3"/>
        <n v="8"/>
        <n v="10"/>
        <n v="2"/>
        <n v="6"/>
        <n v="4"/>
        <n v="7"/>
        <n v="9"/>
        <n v="12"/>
        <n v="11"/>
      </sharedItems>
    </cacheField>
    <cacheField name="total_amount" numFmtId="0">
      <sharedItems containsSemiMixedTypes="0" containsString="0" containsNumber="1" containsInteger="1" minValue="420" maxValue="40000" count="45">
        <n v="850"/>
        <n v="32000"/>
        <n v="4500"/>
        <n v="1200"/>
        <n v="600"/>
        <n v="2800"/>
        <n v="18000"/>
        <n v="900"/>
        <n v="700"/>
        <n v="6500"/>
        <n v="25000"/>
        <n v="1100"/>
        <n v="420"/>
        <n v="5200"/>
        <n v="40000"/>
        <n v="500"/>
        <n v="1350"/>
        <n v="3000"/>
        <n v="15000"/>
        <n v="720"/>
        <n v="950"/>
        <n v="4100"/>
        <n v="22000"/>
        <n v="780"/>
        <n v="560"/>
        <n v="1050"/>
        <n v="4800"/>
        <n v="28000"/>
        <n v="3900"/>
        <n v="540"/>
        <n v="650"/>
        <n v="36000"/>
        <n v="7200"/>
        <n v="980"/>
        <n v="5600"/>
        <n v="660"/>
        <n v="820"/>
        <n v="26000"/>
        <n v="4300"/>
        <n v="1150"/>
        <n v="30000"/>
        <n v="5100"/>
        <n v="1300"/>
        <n v="24000"/>
        <n v="6800"/>
      </sharedItems>
    </cacheField>
    <cacheField name="payment_method" numFmtId="0">
      <sharedItems count="4">
        <s v="UPI"/>
        <s v="Credit Card"/>
        <s v="Cash"/>
        <s v="Debit Card"/>
      </sharedItems>
    </cacheField>
    <cacheField name="store_type" numFmtId="0">
      <sharedItems count="3">
        <s v="Supermarket"/>
        <s v="Mall Store"/>
        <s v="Local Store"/>
      </sharedItems>
    </cacheField>
    <cacheField name="visit_date" numFmtId="0">
      <sharedItems containsSemiMixedTypes="0" containsString="0" containsNonDate="0" containsDate="1" minDate="2025-01-13T00:00:00" maxDate="2025-12-01T00:00:00" count="17"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</sharedItems>
      <fieldGroup base="8">
        <rangePr groupBy="months" startDate="2025-01-13T00:00:00" endDate="2025-12-01T00:00:00" groupInterval="1"/>
        <groupItems count="14">
          <s v="&lt;13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2/2025"/>
        </groupItems>
      </fieldGroup>
    </cacheField>
    <cacheField name="month_&amp;_year" numFmtId="182">
      <sharedItems containsSemiMixedTypes="0" containsString="0" containsNonDate="0" containsDate="1" minDate="2025-01-13T00:00:00" maxDate="2025-12-01T00:00:00" count="17"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</r>
  <r>
    <x v="2"/>
    <x v="2"/>
    <x v="2"/>
    <x v="2"/>
    <x v="2"/>
    <x v="2"/>
    <x v="0"/>
    <x v="1"/>
    <x v="1"/>
    <x v="1"/>
  </r>
  <r>
    <x v="3"/>
    <x v="3"/>
    <x v="3"/>
    <x v="0"/>
    <x v="3"/>
    <x v="3"/>
    <x v="2"/>
    <x v="0"/>
    <x v="1"/>
    <x v="1"/>
  </r>
  <r>
    <x v="4"/>
    <x v="4"/>
    <x v="4"/>
    <x v="3"/>
    <x v="4"/>
    <x v="4"/>
    <x v="0"/>
    <x v="2"/>
    <x v="1"/>
    <x v="1"/>
  </r>
  <r>
    <x v="5"/>
    <x v="5"/>
    <x v="5"/>
    <x v="2"/>
    <x v="5"/>
    <x v="5"/>
    <x v="3"/>
    <x v="1"/>
    <x v="2"/>
    <x v="2"/>
  </r>
  <r>
    <x v="6"/>
    <x v="6"/>
    <x v="6"/>
    <x v="1"/>
    <x v="1"/>
    <x v="6"/>
    <x v="1"/>
    <x v="1"/>
    <x v="2"/>
    <x v="2"/>
  </r>
  <r>
    <x v="7"/>
    <x v="7"/>
    <x v="7"/>
    <x v="0"/>
    <x v="6"/>
    <x v="7"/>
    <x v="0"/>
    <x v="0"/>
    <x v="2"/>
    <x v="2"/>
  </r>
  <r>
    <x v="8"/>
    <x v="8"/>
    <x v="8"/>
    <x v="0"/>
    <x v="7"/>
    <x v="8"/>
    <x v="2"/>
    <x v="2"/>
    <x v="3"/>
    <x v="3"/>
  </r>
  <r>
    <x v="9"/>
    <x v="9"/>
    <x v="9"/>
    <x v="2"/>
    <x v="0"/>
    <x v="9"/>
    <x v="0"/>
    <x v="1"/>
    <x v="3"/>
    <x v="3"/>
  </r>
  <r>
    <x v="10"/>
    <x v="10"/>
    <x v="10"/>
    <x v="1"/>
    <x v="1"/>
    <x v="10"/>
    <x v="1"/>
    <x v="1"/>
    <x v="3"/>
    <x v="3"/>
  </r>
  <r>
    <x v="11"/>
    <x v="11"/>
    <x v="11"/>
    <x v="0"/>
    <x v="8"/>
    <x v="11"/>
    <x v="0"/>
    <x v="0"/>
    <x v="4"/>
    <x v="4"/>
  </r>
  <r>
    <x v="12"/>
    <x v="12"/>
    <x v="12"/>
    <x v="3"/>
    <x v="6"/>
    <x v="12"/>
    <x v="2"/>
    <x v="2"/>
    <x v="4"/>
    <x v="4"/>
  </r>
  <r>
    <x v="13"/>
    <x v="13"/>
    <x v="13"/>
    <x v="2"/>
    <x v="7"/>
    <x v="13"/>
    <x v="3"/>
    <x v="1"/>
    <x v="4"/>
    <x v="4"/>
  </r>
  <r>
    <x v="14"/>
    <x v="14"/>
    <x v="14"/>
    <x v="1"/>
    <x v="5"/>
    <x v="14"/>
    <x v="1"/>
    <x v="1"/>
    <x v="5"/>
    <x v="5"/>
  </r>
  <r>
    <x v="15"/>
    <x v="15"/>
    <x v="15"/>
    <x v="0"/>
    <x v="2"/>
    <x v="15"/>
    <x v="2"/>
    <x v="2"/>
    <x v="5"/>
    <x v="5"/>
  </r>
  <r>
    <x v="16"/>
    <x v="16"/>
    <x v="16"/>
    <x v="0"/>
    <x v="9"/>
    <x v="16"/>
    <x v="0"/>
    <x v="0"/>
    <x v="5"/>
    <x v="5"/>
  </r>
  <r>
    <x v="17"/>
    <x v="17"/>
    <x v="17"/>
    <x v="2"/>
    <x v="5"/>
    <x v="17"/>
    <x v="3"/>
    <x v="1"/>
    <x v="6"/>
    <x v="6"/>
  </r>
  <r>
    <x v="18"/>
    <x v="18"/>
    <x v="18"/>
    <x v="1"/>
    <x v="1"/>
    <x v="18"/>
    <x v="1"/>
    <x v="1"/>
    <x v="6"/>
    <x v="6"/>
  </r>
  <r>
    <x v="19"/>
    <x v="19"/>
    <x v="19"/>
    <x v="3"/>
    <x v="10"/>
    <x v="19"/>
    <x v="0"/>
    <x v="2"/>
    <x v="6"/>
    <x v="6"/>
  </r>
  <r>
    <x v="20"/>
    <x v="20"/>
    <x v="20"/>
    <x v="0"/>
    <x v="6"/>
    <x v="20"/>
    <x v="2"/>
    <x v="0"/>
    <x v="7"/>
    <x v="7"/>
  </r>
  <r>
    <x v="21"/>
    <x v="21"/>
    <x v="21"/>
    <x v="2"/>
    <x v="2"/>
    <x v="21"/>
    <x v="0"/>
    <x v="1"/>
    <x v="7"/>
    <x v="7"/>
  </r>
  <r>
    <x v="22"/>
    <x v="22"/>
    <x v="22"/>
    <x v="1"/>
    <x v="1"/>
    <x v="22"/>
    <x v="1"/>
    <x v="1"/>
    <x v="7"/>
    <x v="7"/>
  </r>
  <r>
    <x v="23"/>
    <x v="23"/>
    <x v="23"/>
    <x v="0"/>
    <x v="0"/>
    <x v="23"/>
    <x v="0"/>
    <x v="0"/>
    <x v="8"/>
    <x v="8"/>
  </r>
  <r>
    <x v="24"/>
    <x v="24"/>
    <x v="24"/>
    <x v="3"/>
    <x v="3"/>
    <x v="24"/>
    <x v="2"/>
    <x v="2"/>
    <x v="8"/>
    <x v="8"/>
  </r>
  <r>
    <x v="25"/>
    <x v="25"/>
    <x v="25"/>
    <x v="0"/>
    <x v="8"/>
    <x v="25"/>
    <x v="0"/>
    <x v="0"/>
    <x v="8"/>
    <x v="8"/>
  </r>
  <r>
    <x v="26"/>
    <x v="26"/>
    <x v="26"/>
    <x v="2"/>
    <x v="7"/>
    <x v="26"/>
    <x v="3"/>
    <x v="1"/>
    <x v="9"/>
    <x v="9"/>
  </r>
  <r>
    <x v="27"/>
    <x v="27"/>
    <x v="27"/>
    <x v="1"/>
    <x v="1"/>
    <x v="27"/>
    <x v="1"/>
    <x v="1"/>
    <x v="9"/>
    <x v="9"/>
  </r>
  <r>
    <x v="28"/>
    <x v="28"/>
    <x v="28"/>
    <x v="0"/>
    <x v="6"/>
    <x v="7"/>
    <x v="2"/>
    <x v="0"/>
    <x v="9"/>
    <x v="9"/>
  </r>
  <r>
    <x v="29"/>
    <x v="29"/>
    <x v="29"/>
    <x v="2"/>
    <x v="2"/>
    <x v="28"/>
    <x v="0"/>
    <x v="1"/>
    <x v="10"/>
    <x v="10"/>
  </r>
  <r>
    <x v="30"/>
    <x v="30"/>
    <x v="30"/>
    <x v="3"/>
    <x v="9"/>
    <x v="29"/>
    <x v="2"/>
    <x v="2"/>
    <x v="10"/>
    <x v="10"/>
  </r>
  <r>
    <x v="31"/>
    <x v="31"/>
    <x v="8"/>
    <x v="0"/>
    <x v="7"/>
    <x v="30"/>
    <x v="0"/>
    <x v="0"/>
    <x v="10"/>
    <x v="10"/>
  </r>
  <r>
    <x v="32"/>
    <x v="32"/>
    <x v="31"/>
    <x v="1"/>
    <x v="5"/>
    <x v="31"/>
    <x v="1"/>
    <x v="1"/>
    <x v="11"/>
    <x v="11"/>
  </r>
  <r>
    <x v="33"/>
    <x v="33"/>
    <x v="32"/>
    <x v="2"/>
    <x v="0"/>
    <x v="32"/>
    <x v="3"/>
    <x v="1"/>
    <x v="11"/>
    <x v="11"/>
  </r>
  <r>
    <x v="34"/>
    <x v="34"/>
    <x v="33"/>
    <x v="0"/>
    <x v="6"/>
    <x v="33"/>
    <x v="0"/>
    <x v="0"/>
    <x v="11"/>
    <x v="11"/>
  </r>
  <r>
    <x v="35"/>
    <x v="35"/>
    <x v="34"/>
    <x v="2"/>
    <x v="7"/>
    <x v="34"/>
    <x v="0"/>
    <x v="1"/>
    <x v="12"/>
    <x v="12"/>
  </r>
  <r>
    <x v="36"/>
    <x v="36"/>
    <x v="35"/>
    <x v="3"/>
    <x v="11"/>
    <x v="35"/>
    <x v="2"/>
    <x v="2"/>
    <x v="12"/>
    <x v="12"/>
  </r>
  <r>
    <x v="37"/>
    <x v="37"/>
    <x v="36"/>
    <x v="0"/>
    <x v="0"/>
    <x v="36"/>
    <x v="0"/>
    <x v="0"/>
    <x v="12"/>
    <x v="12"/>
  </r>
  <r>
    <x v="38"/>
    <x v="38"/>
    <x v="37"/>
    <x v="1"/>
    <x v="1"/>
    <x v="37"/>
    <x v="1"/>
    <x v="1"/>
    <x v="13"/>
    <x v="13"/>
  </r>
  <r>
    <x v="39"/>
    <x v="39"/>
    <x v="38"/>
    <x v="2"/>
    <x v="2"/>
    <x v="38"/>
    <x v="3"/>
    <x v="1"/>
    <x v="13"/>
    <x v="13"/>
  </r>
  <r>
    <x v="40"/>
    <x v="40"/>
    <x v="39"/>
    <x v="0"/>
    <x v="8"/>
    <x v="39"/>
    <x v="0"/>
    <x v="0"/>
    <x v="13"/>
    <x v="13"/>
  </r>
  <r>
    <x v="41"/>
    <x v="41"/>
    <x v="40"/>
    <x v="1"/>
    <x v="1"/>
    <x v="40"/>
    <x v="1"/>
    <x v="1"/>
    <x v="14"/>
    <x v="14"/>
  </r>
  <r>
    <x v="42"/>
    <x v="42"/>
    <x v="41"/>
    <x v="3"/>
    <x v="4"/>
    <x v="4"/>
    <x v="2"/>
    <x v="2"/>
    <x v="14"/>
    <x v="14"/>
  </r>
  <r>
    <x v="43"/>
    <x v="43"/>
    <x v="42"/>
    <x v="0"/>
    <x v="6"/>
    <x v="7"/>
    <x v="0"/>
    <x v="0"/>
    <x v="14"/>
    <x v="14"/>
  </r>
  <r>
    <x v="44"/>
    <x v="44"/>
    <x v="43"/>
    <x v="2"/>
    <x v="7"/>
    <x v="41"/>
    <x v="3"/>
    <x v="1"/>
    <x v="15"/>
    <x v="15"/>
  </r>
  <r>
    <x v="45"/>
    <x v="45"/>
    <x v="44"/>
    <x v="0"/>
    <x v="3"/>
    <x v="42"/>
    <x v="2"/>
    <x v="0"/>
    <x v="15"/>
    <x v="15"/>
  </r>
  <r>
    <x v="46"/>
    <x v="46"/>
    <x v="45"/>
    <x v="1"/>
    <x v="1"/>
    <x v="43"/>
    <x v="1"/>
    <x v="1"/>
    <x v="15"/>
    <x v="15"/>
  </r>
  <r>
    <x v="47"/>
    <x v="47"/>
    <x v="46"/>
    <x v="2"/>
    <x v="0"/>
    <x v="44"/>
    <x v="0"/>
    <x v="1"/>
    <x v="16"/>
    <x v="16"/>
  </r>
  <r>
    <x v="48"/>
    <x v="48"/>
    <x v="47"/>
    <x v="0"/>
    <x v="6"/>
    <x v="20"/>
    <x v="2"/>
    <x v="0"/>
    <x v="16"/>
    <x v="16"/>
  </r>
  <r>
    <x v="49"/>
    <x v="49"/>
    <x v="48"/>
    <x v="3"/>
    <x v="8"/>
    <x v="12"/>
    <x v="0"/>
    <x v="2"/>
    <x v="16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c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3:C15" firstHeaderRow="1" firstDataRow="1" firstDataCol="1"/>
  <pivotFields count="10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6"/>
        <item x="16"/>
        <item x="27"/>
        <item x="2"/>
        <item x="5"/>
        <item x="45"/>
        <item x="31"/>
        <item x="46"/>
        <item x="12"/>
        <item x="44"/>
        <item x="22"/>
        <item x="21"/>
        <item x="41"/>
        <item x="7"/>
        <item x="18"/>
        <item x="39"/>
        <item x="10"/>
        <item x="17"/>
        <item x="26"/>
        <item x="37"/>
        <item x="23"/>
        <item x="47"/>
        <item x="40"/>
        <item x="3"/>
        <item x="33"/>
        <item x="14"/>
        <item x="30"/>
        <item x="9"/>
        <item x="38"/>
        <item x="25"/>
        <item x="49"/>
        <item x="1"/>
        <item x="0"/>
        <item x="20"/>
        <item x="43"/>
        <item x="13"/>
        <item x="4"/>
        <item x="35"/>
        <item x="24"/>
        <item x="34"/>
        <item x="48"/>
        <item x="11"/>
        <item x="42"/>
        <item x="15"/>
        <item x="28"/>
        <item x="6"/>
        <item x="19"/>
        <item x="32"/>
        <item x="8"/>
        <item x="29"/>
        <item t="default"/>
      </items>
    </pivotField>
    <pivotField axis="axisRow" compact="0" sortType="ascending" multipleItemSelectionAllowed="1" showAll="0">
      <items count="50">
        <item h="1" x="13"/>
        <item h="1" x="2"/>
        <item h="1" x="23"/>
        <item h="1" x="46"/>
        <item h="1" x="8"/>
        <item h="1" x="35"/>
        <item h="1" x="17"/>
        <item x="40"/>
        <item h="1" x="43"/>
        <item h="1" x="0"/>
        <item h="1" x="18"/>
        <item h="1" x="44"/>
        <item x="14"/>
        <item h="1" x="33"/>
        <item h="1" x="28"/>
        <item h="1" x="39"/>
        <item x="7"/>
        <item x="6"/>
        <item h="1" x="15"/>
        <item x="10"/>
        <item x="37"/>
        <item h="1" x="29"/>
        <item h="1" x="9"/>
        <item h="1" x="26"/>
        <item h="1" x="3"/>
        <item h="1" x="32"/>
        <item h="1" x="47"/>
        <item x="22"/>
        <item x="1"/>
        <item h="1" x="19"/>
        <item h="1" x="24"/>
        <item h="1" x="12"/>
        <item h="1" x="36"/>
        <item x="31"/>
        <item h="1" x="4"/>
        <item x="27"/>
        <item h="1" x="5"/>
        <item x="45"/>
        <item h="1" x="21"/>
        <item h="1" x="16"/>
        <item h="1" x="30"/>
        <item h="1" x="42"/>
        <item h="1" x="41"/>
        <item h="1" x="48"/>
        <item h="1" x="25"/>
        <item h="1" x="34"/>
        <item h="1" x="38"/>
        <item h="1" x="11"/>
        <item h="1" x="2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1"/>
        <item x="5"/>
        <item x="2"/>
        <item x="7"/>
        <item x="0"/>
        <item x="6"/>
        <item x="8"/>
        <item x="3"/>
        <item x="9"/>
        <item x="4"/>
        <item x="11"/>
        <item x="10"/>
        <item t="default"/>
      </items>
    </pivotField>
    <pivotField dataField="1" compact="0" showAll="0">
      <items count="46">
        <item x="12"/>
        <item x="15"/>
        <item x="29"/>
        <item x="24"/>
        <item x="4"/>
        <item x="30"/>
        <item x="35"/>
        <item x="8"/>
        <item x="19"/>
        <item x="23"/>
        <item x="36"/>
        <item x="0"/>
        <item x="7"/>
        <item x="20"/>
        <item x="33"/>
        <item x="25"/>
        <item x="11"/>
        <item x="39"/>
        <item x="3"/>
        <item x="42"/>
        <item x="16"/>
        <item x="5"/>
        <item x="17"/>
        <item x="28"/>
        <item x="21"/>
        <item x="38"/>
        <item x="2"/>
        <item x="26"/>
        <item x="41"/>
        <item x="13"/>
        <item x="34"/>
        <item x="9"/>
        <item x="44"/>
        <item x="32"/>
        <item x="18"/>
        <item x="6"/>
        <item x="22"/>
        <item x="43"/>
        <item x="10"/>
        <item x="37"/>
        <item x="27"/>
        <item x="40"/>
        <item x="1"/>
        <item x="31"/>
        <item x="14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82" showAll="0">
      <items count="18"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12">
    <i>
      <x v="7"/>
    </i>
    <i>
      <x v="12"/>
    </i>
    <i>
      <x v="16"/>
    </i>
    <i>
      <x v="17"/>
    </i>
    <i>
      <x v="19"/>
    </i>
    <i>
      <x v="20"/>
    </i>
    <i>
      <x v="27"/>
    </i>
    <i>
      <x v="28"/>
    </i>
    <i>
      <x v="33"/>
    </i>
    <i>
      <x v="35"/>
    </i>
    <i>
      <x v="37"/>
    </i>
    <i t="grand">
      <x/>
    </i>
  </rowItems>
  <colItems count="1">
    <i/>
  </colItems>
  <dataFields count="1">
    <dataField name="Sum of total_amount" fld="5" baseField="0" baseItem="0" numFmtId="179"/>
  </dataFields>
  <formats count="8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all" dataOnly="0" outline="0" fieldPosition="0"/>
    </format>
    <format dxfId="5">
      <pivotArea type="all" dataOnly="0" outline="0" fieldPosition="0"/>
    </format>
    <format dxfId="6">
      <pivotArea collapsedLevelsAreSubtotals="1" fieldPosition="0"/>
    </format>
    <format dxfId="7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 by product 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3:G8" firstHeaderRow="1" firstDataRow="1" firstDataCol="1"/>
  <pivotFields count="10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6"/>
        <item x="16"/>
        <item x="27"/>
        <item x="2"/>
        <item x="5"/>
        <item x="45"/>
        <item x="31"/>
        <item x="46"/>
        <item x="12"/>
        <item x="44"/>
        <item x="22"/>
        <item x="21"/>
        <item x="41"/>
        <item x="7"/>
        <item x="18"/>
        <item x="39"/>
        <item x="10"/>
        <item x="17"/>
        <item x="26"/>
        <item x="37"/>
        <item x="23"/>
        <item x="47"/>
        <item x="40"/>
        <item x="3"/>
        <item x="33"/>
        <item x="14"/>
        <item x="30"/>
        <item x="9"/>
        <item x="38"/>
        <item x="25"/>
        <item x="49"/>
        <item x="1"/>
        <item x="0"/>
        <item x="20"/>
        <item x="43"/>
        <item x="13"/>
        <item x="4"/>
        <item x="35"/>
        <item x="24"/>
        <item x="34"/>
        <item x="48"/>
        <item x="11"/>
        <item x="42"/>
        <item x="15"/>
        <item x="28"/>
        <item x="6"/>
        <item x="19"/>
        <item x="32"/>
        <item x="8"/>
        <item x="29"/>
        <item t="default"/>
      </items>
    </pivotField>
    <pivotField compact="0" showAll="0">
      <items count="50">
        <item x="13"/>
        <item x="2"/>
        <item x="23"/>
        <item x="46"/>
        <item x="8"/>
        <item x="35"/>
        <item x="17"/>
        <item x="40"/>
        <item x="43"/>
        <item x="0"/>
        <item x="18"/>
        <item x="44"/>
        <item x="14"/>
        <item x="33"/>
        <item x="28"/>
        <item x="39"/>
        <item x="7"/>
        <item x="6"/>
        <item x="15"/>
        <item x="10"/>
        <item x="37"/>
        <item x="29"/>
        <item x="9"/>
        <item x="26"/>
        <item x="3"/>
        <item x="32"/>
        <item x="47"/>
        <item x="22"/>
        <item x="1"/>
        <item x="19"/>
        <item x="24"/>
        <item x="12"/>
        <item x="36"/>
        <item x="31"/>
        <item x="4"/>
        <item x="27"/>
        <item x="5"/>
        <item x="45"/>
        <item x="21"/>
        <item x="16"/>
        <item x="30"/>
        <item x="42"/>
        <item x="41"/>
        <item x="48"/>
        <item x="25"/>
        <item x="34"/>
        <item x="38"/>
        <item x="11"/>
        <item x="20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1"/>
        <item x="5"/>
        <item x="2"/>
        <item x="7"/>
        <item x="0"/>
        <item x="6"/>
        <item x="8"/>
        <item x="3"/>
        <item x="9"/>
        <item x="4"/>
        <item x="11"/>
        <item x="10"/>
        <item t="default"/>
      </items>
    </pivotField>
    <pivotField dataField="1" compact="0" showAll="0">
      <items count="46">
        <item x="12"/>
        <item x="15"/>
        <item x="29"/>
        <item x="24"/>
        <item x="4"/>
        <item x="30"/>
        <item x="35"/>
        <item x="8"/>
        <item x="19"/>
        <item x="23"/>
        <item x="36"/>
        <item x="0"/>
        <item x="7"/>
        <item x="20"/>
        <item x="33"/>
        <item x="25"/>
        <item x="11"/>
        <item x="39"/>
        <item x="3"/>
        <item x="42"/>
        <item x="16"/>
        <item x="5"/>
        <item x="17"/>
        <item x="28"/>
        <item x="21"/>
        <item x="38"/>
        <item x="2"/>
        <item x="26"/>
        <item x="41"/>
        <item x="13"/>
        <item x="34"/>
        <item x="9"/>
        <item x="44"/>
        <item x="32"/>
        <item x="18"/>
        <item x="6"/>
        <item x="22"/>
        <item x="43"/>
        <item x="10"/>
        <item x="37"/>
        <item x="27"/>
        <item x="40"/>
        <item x="1"/>
        <item x="31"/>
        <item x="14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82" showAll="0">
      <items count="18"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5" baseField="0" baseItem="0"/>
  </dataFields>
  <formats count="2">
    <format dxfId="8">
      <pivotArea type="all" dataOnly="0" outline="0" fieldPosition="0"/>
    </format>
    <format dxfId="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les by store typ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3:J7" firstHeaderRow="1" firstDataRow="1" firstDataCol="1"/>
  <pivotFields count="10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6"/>
        <item x="16"/>
        <item x="27"/>
        <item x="2"/>
        <item x="5"/>
        <item x="45"/>
        <item x="31"/>
        <item x="46"/>
        <item x="12"/>
        <item x="44"/>
        <item x="22"/>
        <item x="21"/>
        <item x="41"/>
        <item x="7"/>
        <item x="18"/>
        <item x="39"/>
        <item x="10"/>
        <item x="17"/>
        <item x="26"/>
        <item x="37"/>
        <item x="23"/>
        <item x="47"/>
        <item x="40"/>
        <item x="3"/>
        <item x="33"/>
        <item x="14"/>
        <item x="30"/>
        <item x="9"/>
        <item x="38"/>
        <item x="25"/>
        <item x="49"/>
        <item x="1"/>
        <item x="0"/>
        <item x="20"/>
        <item x="43"/>
        <item x="13"/>
        <item x="4"/>
        <item x="35"/>
        <item x="24"/>
        <item x="34"/>
        <item x="48"/>
        <item x="11"/>
        <item x="42"/>
        <item x="15"/>
        <item x="28"/>
        <item x="6"/>
        <item x="19"/>
        <item x="32"/>
        <item x="8"/>
        <item x="29"/>
        <item t="default"/>
      </items>
    </pivotField>
    <pivotField compact="0" showAll="0">
      <items count="50">
        <item x="13"/>
        <item x="2"/>
        <item x="23"/>
        <item x="46"/>
        <item x="8"/>
        <item x="35"/>
        <item x="17"/>
        <item x="40"/>
        <item x="43"/>
        <item x="0"/>
        <item x="18"/>
        <item x="44"/>
        <item x="14"/>
        <item x="33"/>
        <item x="28"/>
        <item x="39"/>
        <item x="7"/>
        <item x="6"/>
        <item x="15"/>
        <item x="10"/>
        <item x="37"/>
        <item x="29"/>
        <item x="9"/>
        <item x="26"/>
        <item x="3"/>
        <item x="32"/>
        <item x="47"/>
        <item x="22"/>
        <item x="1"/>
        <item x="19"/>
        <item x="24"/>
        <item x="12"/>
        <item x="36"/>
        <item x="31"/>
        <item x="4"/>
        <item x="27"/>
        <item x="5"/>
        <item x="45"/>
        <item x="21"/>
        <item x="16"/>
        <item x="30"/>
        <item x="42"/>
        <item x="41"/>
        <item x="48"/>
        <item x="25"/>
        <item x="34"/>
        <item x="38"/>
        <item x="11"/>
        <item x="2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1"/>
        <item x="5"/>
        <item x="2"/>
        <item x="7"/>
        <item x="0"/>
        <item x="6"/>
        <item x="8"/>
        <item x="3"/>
        <item x="9"/>
        <item x="4"/>
        <item x="11"/>
        <item x="10"/>
        <item t="default"/>
      </items>
    </pivotField>
    <pivotField dataField="1" compact="0" showAll="0">
      <items count="46">
        <item x="12"/>
        <item x="15"/>
        <item x="29"/>
        <item x="24"/>
        <item x="4"/>
        <item x="30"/>
        <item x="35"/>
        <item x="8"/>
        <item x="19"/>
        <item x="23"/>
        <item x="36"/>
        <item x="0"/>
        <item x="7"/>
        <item x="20"/>
        <item x="33"/>
        <item x="25"/>
        <item x="11"/>
        <item x="39"/>
        <item x="3"/>
        <item x="42"/>
        <item x="16"/>
        <item x="5"/>
        <item x="17"/>
        <item x="28"/>
        <item x="21"/>
        <item x="38"/>
        <item x="2"/>
        <item x="26"/>
        <item x="41"/>
        <item x="13"/>
        <item x="34"/>
        <item x="9"/>
        <item x="44"/>
        <item x="32"/>
        <item x="18"/>
        <item x="6"/>
        <item x="22"/>
        <item x="43"/>
        <item x="10"/>
        <item x="37"/>
        <item x="27"/>
        <item x="40"/>
        <item x="1"/>
        <item x="31"/>
        <item x="14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82" showAll="0">
      <items count="18"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5" baseField="0" baseItem="0"/>
  </dataFields>
  <formats count="2">
    <format dxfId="10">
      <pivotArea type="all" dataOnly="0" outline="0" fieldPosition="0"/>
    </format>
    <format dxfId="1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sales recived by payment metho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3:M8" firstHeaderRow="1" firstDataRow="1" firstDataCol="1"/>
  <pivotFields count="10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6"/>
        <item x="16"/>
        <item x="27"/>
        <item x="2"/>
        <item x="5"/>
        <item x="45"/>
        <item x="31"/>
        <item x="46"/>
        <item x="12"/>
        <item x="44"/>
        <item x="22"/>
        <item x="21"/>
        <item x="41"/>
        <item x="7"/>
        <item x="18"/>
        <item x="39"/>
        <item x="10"/>
        <item x="17"/>
        <item x="26"/>
        <item x="37"/>
        <item x="23"/>
        <item x="47"/>
        <item x="40"/>
        <item x="3"/>
        <item x="33"/>
        <item x="14"/>
        <item x="30"/>
        <item x="9"/>
        <item x="38"/>
        <item x="25"/>
        <item x="49"/>
        <item x="1"/>
        <item x="0"/>
        <item x="20"/>
        <item x="43"/>
        <item x="13"/>
        <item x="4"/>
        <item x="35"/>
        <item x="24"/>
        <item x="34"/>
        <item x="48"/>
        <item x="11"/>
        <item x="42"/>
        <item x="15"/>
        <item x="28"/>
        <item x="6"/>
        <item x="19"/>
        <item x="32"/>
        <item x="8"/>
        <item x="29"/>
        <item t="default"/>
      </items>
    </pivotField>
    <pivotField compact="0" showAll="0">
      <items count="50">
        <item x="13"/>
        <item x="2"/>
        <item x="23"/>
        <item x="46"/>
        <item x="8"/>
        <item x="35"/>
        <item x="17"/>
        <item x="40"/>
        <item x="43"/>
        <item x="0"/>
        <item x="18"/>
        <item x="44"/>
        <item x="14"/>
        <item x="33"/>
        <item x="28"/>
        <item x="39"/>
        <item x="7"/>
        <item x="6"/>
        <item x="15"/>
        <item x="10"/>
        <item x="37"/>
        <item x="29"/>
        <item x="9"/>
        <item x="26"/>
        <item x="3"/>
        <item x="32"/>
        <item x="47"/>
        <item x="22"/>
        <item x="1"/>
        <item x="19"/>
        <item x="24"/>
        <item x="12"/>
        <item x="36"/>
        <item x="31"/>
        <item x="4"/>
        <item x="27"/>
        <item x="5"/>
        <item x="45"/>
        <item x="21"/>
        <item x="16"/>
        <item x="30"/>
        <item x="42"/>
        <item x="41"/>
        <item x="48"/>
        <item x="25"/>
        <item x="34"/>
        <item x="38"/>
        <item x="11"/>
        <item x="2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1"/>
        <item x="5"/>
        <item x="2"/>
        <item x="7"/>
        <item x="0"/>
        <item x="6"/>
        <item x="8"/>
        <item x="3"/>
        <item x="9"/>
        <item x="4"/>
        <item x="11"/>
        <item x="10"/>
        <item t="default"/>
      </items>
    </pivotField>
    <pivotField dataField="1" compact="0" showAll="0">
      <items count="46">
        <item x="12"/>
        <item x="15"/>
        <item x="29"/>
        <item x="24"/>
        <item x="4"/>
        <item x="30"/>
        <item x="35"/>
        <item x="8"/>
        <item x="19"/>
        <item x="23"/>
        <item x="36"/>
        <item x="0"/>
        <item x="7"/>
        <item x="20"/>
        <item x="33"/>
        <item x="25"/>
        <item x="11"/>
        <item x="39"/>
        <item x="3"/>
        <item x="42"/>
        <item x="16"/>
        <item x="5"/>
        <item x="17"/>
        <item x="28"/>
        <item x="21"/>
        <item x="38"/>
        <item x="2"/>
        <item x="26"/>
        <item x="41"/>
        <item x="13"/>
        <item x="34"/>
        <item x="9"/>
        <item x="44"/>
        <item x="32"/>
        <item x="18"/>
        <item x="6"/>
        <item x="22"/>
        <item x="43"/>
        <item x="10"/>
        <item x="37"/>
        <item x="27"/>
        <item x="40"/>
        <item x="1"/>
        <item x="31"/>
        <item x="14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82" showAll="0">
      <items count="18"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5" baseField="0" baseItem="0"/>
  </dataFields>
  <formats count="2">
    <format dxfId="12">
      <pivotArea type="all" dataOnly="0" outline="0" fieldPosition="0"/>
    </format>
    <format dxfId="1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onthly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O3:P13" firstHeaderRow="1" firstDataRow="1" firstDataCol="1"/>
  <pivotFields count="10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6"/>
        <item x="16"/>
        <item x="27"/>
        <item x="2"/>
        <item x="5"/>
        <item x="45"/>
        <item x="31"/>
        <item x="46"/>
        <item x="12"/>
        <item x="44"/>
        <item x="22"/>
        <item x="21"/>
        <item x="41"/>
        <item x="7"/>
        <item x="18"/>
        <item x="39"/>
        <item x="10"/>
        <item x="17"/>
        <item x="26"/>
        <item x="37"/>
        <item x="23"/>
        <item x="47"/>
        <item x="40"/>
        <item x="3"/>
        <item x="33"/>
        <item x="14"/>
        <item x="30"/>
        <item x="9"/>
        <item x="38"/>
        <item x="25"/>
        <item x="49"/>
        <item x="1"/>
        <item x="0"/>
        <item x="20"/>
        <item x="43"/>
        <item x="13"/>
        <item x="4"/>
        <item x="35"/>
        <item x="24"/>
        <item x="34"/>
        <item x="48"/>
        <item x="11"/>
        <item x="42"/>
        <item x="15"/>
        <item x="28"/>
        <item x="6"/>
        <item x="19"/>
        <item x="32"/>
        <item x="8"/>
        <item x="29"/>
        <item t="default"/>
      </items>
    </pivotField>
    <pivotField compact="0" showAll="0">
      <items count="50">
        <item x="13"/>
        <item x="2"/>
        <item x="23"/>
        <item x="46"/>
        <item x="8"/>
        <item x="35"/>
        <item x="17"/>
        <item x="40"/>
        <item x="43"/>
        <item x="0"/>
        <item x="18"/>
        <item x="44"/>
        <item x="14"/>
        <item x="33"/>
        <item x="28"/>
        <item x="39"/>
        <item x="7"/>
        <item x="6"/>
        <item x="15"/>
        <item x="10"/>
        <item x="37"/>
        <item x="29"/>
        <item x="9"/>
        <item x="26"/>
        <item x="3"/>
        <item x="32"/>
        <item x="47"/>
        <item x="22"/>
        <item x="1"/>
        <item x="19"/>
        <item x="24"/>
        <item x="12"/>
        <item x="36"/>
        <item x="31"/>
        <item x="4"/>
        <item x="27"/>
        <item x="5"/>
        <item x="45"/>
        <item x="21"/>
        <item x="16"/>
        <item x="30"/>
        <item x="42"/>
        <item x="41"/>
        <item x="48"/>
        <item x="25"/>
        <item x="34"/>
        <item x="38"/>
        <item x="11"/>
        <item x="2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3">
        <item x="1"/>
        <item x="5"/>
        <item x="2"/>
        <item x="7"/>
        <item x="0"/>
        <item x="6"/>
        <item x="8"/>
        <item x="3"/>
        <item x="9"/>
        <item x="4"/>
        <item x="11"/>
        <item x="10"/>
        <item t="default"/>
      </items>
    </pivotField>
    <pivotField dataField="1" compact="0" showAll="0">
      <items count="46">
        <item x="12"/>
        <item x="15"/>
        <item x="29"/>
        <item x="24"/>
        <item x="4"/>
        <item x="30"/>
        <item x="35"/>
        <item x="8"/>
        <item x="19"/>
        <item x="23"/>
        <item x="36"/>
        <item x="0"/>
        <item x="7"/>
        <item x="20"/>
        <item x="33"/>
        <item x="25"/>
        <item x="11"/>
        <item x="39"/>
        <item x="3"/>
        <item x="42"/>
        <item x="16"/>
        <item x="5"/>
        <item x="17"/>
        <item x="28"/>
        <item x="21"/>
        <item x="38"/>
        <item x="2"/>
        <item x="26"/>
        <item x="41"/>
        <item x="13"/>
        <item x="34"/>
        <item x="9"/>
        <item x="44"/>
        <item x="32"/>
        <item x="18"/>
        <item x="6"/>
        <item x="22"/>
        <item x="43"/>
        <item x="10"/>
        <item x="37"/>
        <item x="27"/>
        <item x="40"/>
        <item x="1"/>
        <item x="31"/>
        <item x="14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82" showAll="0">
      <items count="18"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10"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amount" fld="5" baseField="0" baseItem="0"/>
  </dataFields>
  <formats count="2">
    <format dxfId="14">
      <pivotArea type="all" dataOnly="0" outline="0" fieldPosition="0"/>
    </format>
    <format dxfId="1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8:I19" firstHeaderRow="0" firstDataRow="1" firstDataCol="0"/>
  <pivotFields count="10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6"/>
        <item x="16"/>
        <item x="27"/>
        <item x="2"/>
        <item x="5"/>
        <item x="45"/>
        <item x="31"/>
        <item x="46"/>
        <item x="12"/>
        <item x="44"/>
        <item x="22"/>
        <item x="21"/>
        <item x="41"/>
        <item x="7"/>
        <item x="18"/>
        <item x="39"/>
        <item x="10"/>
        <item x="17"/>
        <item x="26"/>
        <item x="37"/>
        <item x="23"/>
        <item x="47"/>
        <item x="40"/>
        <item x="3"/>
        <item x="33"/>
        <item x="14"/>
        <item x="30"/>
        <item x="9"/>
        <item x="38"/>
        <item x="25"/>
        <item x="49"/>
        <item x="1"/>
        <item x="0"/>
        <item x="20"/>
        <item x="43"/>
        <item x="13"/>
        <item x="4"/>
        <item x="35"/>
        <item x="24"/>
        <item x="34"/>
        <item x="48"/>
        <item x="11"/>
        <item x="42"/>
        <item x="15"/>
        <item x="28"/>
        <item x="6"/>
        <item x="19"/>
        <item x="32"/>
        <item x="8"/>
        <item x="29"/>
        <item t="default"/>
      </items>
    </pivotField>
    <pivotField compact="0" showAll="0">
      <items count="50">
        <item x="13"/>
        <item x="2"/>
        <item x="23"/>
        <item x="46"/>
        <item x="8"/>
        <item x="35"/>
        <item x="17"/>
        <item x="40"/>
        <item x="43"/>
        <item x="0"/>
        <item x="18"/>
        <item x="44"/>
        <item x="14"/>
        <item x="33"/>
        <item x="28"/>
        <item x="39"/>
        <item x="7"/>
        <item x="6"/>
        <item x="15"/>
        <item x="10"/>
        <item x="37"/>
        <item x="29"/>
        <item x="9"/>
        <item x="26"/>
        <item x="3"/>
        <item x="32"/>
        <item x="47"/>
        <item x="22"/>
        <item x="1"/>
        <item x="19"/>
        <item x="24"/>
        <item x="12"/>
        <item x="36"/>
        <item x="31"/>
        <item x="4"/>
        <item x="27"/>
        <item x="5"/>
        <item x="45"/>
        <item x="21"/>
        <item x="16"/>
        <item x="30"/>
        <item x="42"/>
        <item x="41"/>
        <item x="48"/>
        <item x="25"/>
        <item x="34"/>
        <item x="38"/>
        <item x="11"/>
        <item x="2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dataField="1" compact="0" showAll="0">
      <items count="13">
        <item x="1"/>
        <item x="5"/>
        <item x="2"/>
        <item x="7"/>
        <item x="0"/>
        <item x="6"/>
        <item x="8"/>
        <item x="3"/>
        <item x="9"/>
        <item x="4"/>
        <item x="11"/>
        <item x="10"/>
        <item t="default"/>
      </items>
    </pivotField>
    <pivotField dataField="1" compact="0" showAll="0">
      <items count="46">
        <item x="12"/>
        <item x="15"/>
        <item x="29"/>
        <item x="24"/>
        <item x="4"/>
        <item x="30"/>
        <item x="35"/>
        <item x="8"/>
        <item x="19"/>
        <item x="23"/>
        <item x="36"/>
        <item x="0"/>
        <item x="7"/>
        <item x="20"/>
        <item x="33"/>
        <item x="25"/>
        <item x="11"/>
        <item x="39"/>
        <item x="3"/>
        <item x="42"/>
        <item x="16"/>
        <item x="5"/>
        <item x="17"/>
        <item x="28"/>
        <item x="21"/>
        <item x="38"/>
        <item x="2"/>
        <item x="26"/>
        <item x="41"/>
        <item x="13"/>
        <item x="34"/>
        <item x="9"/>
        <item x="44"/>
        <item x="32"/>
        <item x="18"/>
        <item x="6"/>
        <item x="22"/>
        <item x="43"/>
        <item x="10"/>
        <item x="37"/>
        <item x="27"/>
        <item x="40"/>
        <item x="1"/>
        <item x="31"/>
        <item x="14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82" showAll="0">
      <items count="18"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amount" fld="5" baseField="0" baseItem="0"/>
    <dataField name="Sum of quantity" fld="4" baseField="0" baseItem="0"/>
    <dataField name="Count of total_amount" fld="5" subtotal="count" baseField="0" baseItem="0"/>
    <dataField name="Average of total_amount" fld="5" subtotal="average" baseField="0" baseItem="0"/>
  </dataFields>
  <formats count="2">
    <format dxfId="16">
      <pivotArea type="all" dataOnly="0" outline="0" fieldPosition="0"/>
    </format>
    <format dxfId="1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pivotTables>
    <pivotTable tabId="3" name="monthly trend"/>
    <pivotTable tabId="3" name="sales by city"/>
    <pivotTable tabId="3" name="sales by product category"/>
    <pivotTable tabId="3" name="sales by store type"/>
    <pivotTable tabId="3" name="sales recived by payment method"/>
    <pivotTable tabId="3" name="PivotTable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type" sourceName="store_type">
  <pivotTables>
    <pivotTable tabId="3" name="monthly trend"/>
    <pivotTable tabId="3" name="sales by city"/>
    <pivotTable tabId="3" name="sales by product category"/>
    <pivotTable tabId="3" name="sales by store type"/>
    <pivotTable tabId="3" name="sales recived by payment method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ore_type" cache="Slicer_store_type" caption="store_type" style="SlicerStyleOther1" lockedPosition="1" rowHeight="225425"/>
  <slicer name="product_category" cache="Slicer_product_category" caption="product_category" style="SlicerStyleOther1" lockedPosition="1" rowHeight="225425"/>
</slicers>
</file>

<file path=xl/tables/table1.xml><?xml version="1.0" encoding="utf-8"?>
<table xmlns="http://schemas.openxmlformats.org/spreadsheetml/2006/main" id="4" name="Table4" displayName="Table4" ref="A1:J51" totalsRowShown="0">
  <autoFilter xmlns:etc="http://www.wps.cn/officeDocument/2017/etCustomData" ref="A1:J51" etc:filterBottomFollowUsedRange="0"/>
  <tableColumns count="10">
    <tableColumn id="1" name="bill_id"/>
    <tableColumn id="2" name="customer_name"/>
    <tableColumn id="3" name="city"/>
    <tableColumn id="4" name="product_category"/>
    <tableColumn id="5" name="quantity"/>
    <tableColumn id="6" name="total_amount"/>
    <tableColumn id="7" name="payment_method"/>
    <tableColumn id="8" name="store_type"/>
    <tableColumn id="9" name="visit_date" dataDxfId="18"/>
    <tableColumn id="10" name="month_&amp;_year" dataDxfId="19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3:D7" totalsRowShown="0">
  <autoFilter xmlns:etc="http://www.wps.cn/officeDocument/2017/etCustomData" ref="B3:D7" etc:filterBottomFollowUsedRange="0"/>
  <tableColumns count="3">
    <tableColumn id="1" name="FIND" dataDxfId="21"/>
    <tableColumn id="2" name="FINDING" dataDxfId="22"/>
    <tableColumn id="3" name="STATUS" dataDxfId="2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zoomScale="70" zoomScaleNormal="70" workbookViewId="0">
      <selection activeCell="F2" sqref="F2"/>
    </sheetView>
  </sheetViews>
  <sheetFormatPr defaultColWidth="9" defaultRowHeight="16.8"/>
  <cols>
    <col min="1" max="1" width="6" customWidth="1"/>
    <col min="2" max="2" width="22.5234375" customWidth="1"/>
    <col min="3" max="3" width="15.234375" customWidth="1"/>
    <col min="4" max="4" width="18.484375" customWidth="1"/>
    <col min="5" max="5" width="14.1953125" customWidth="1"/>
    <col min="6" max="6" width="18.4921875" customWidth="1"/>
    <col min="7" max="7" width="21.8671875" customWidth="1"/>
    <col min="8" max="8" width="13.1484375" customWidth="1"/>
    <col min="9" max="9" width="26.25" style="52" customWidth="1"/>
    <col min="10" max="10" width="26.25" style="53" customWidth="1"/>
    <col min="11" max="11" width="26.25" style="52" customWidth="1"/>
    <col min="14" max="14" width="9.5"/>
  </cols>
  <sheetData>
    <row r="1" s="51" customFormat="1" spans="1:14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6" t="s">
        <v>9</v>
      </c>
      <c r="K1" s="56"/>
    </row>
    <row r="2" spans="1:14">
      <c r="A2" s="57">
        <v>1001</v>
      </c>
      <c r="B2" s="58" t="s">
        <v>10</v>
      </c>
      <c r="C2" s="58" t="s">
        <v>11</v>
      </c>
      <c r="D2" s="58" t="s">
        <v>12</v>
      </c>
      <c r="E2" s="58">
        <v>5</v>
      </c>
      <c r="F2" s="58">
        <v>850</v>
      </c>
      <c r="G2" s="58" t="s">
        <v>13</v>
      </c>
      <c r="H2" s="58" t="s">
        <v>14</v>
      </c>
      <c r="I2" s="59">
        <v>45778</v>
      </c>
      <c r="J2" s="60">
        <v>45778</v>
      </c>
      <c r="K2" s="61"/>
    </row>
    <row r="3" spans="1:14">
      <c r="A3" s="62">
        <v>1002</v>
      </c>
      <c r="B3" s="63" t="s">
        <v>15</v>
      </c>
      <c r="C3" s="63" t="s">
        <v>16</v>
      </c>
      <c r="D3" s="63" t="s">
        <v>17</v>
      </c>
      <c r="E3" s="63">
        <v>1</v>
      </c>
      <c r="F3" s="63">
        <v>32000</v>
      </c>
      <c r="G3" s="63" t="s">
        <v>18</v>
      </c>
      <c r="H3" s="63" t="s">
        <v>19</v>
      </c>
      <c r="I3" s="59">
        <v>45778</v>
      </c>
      <c r="J3" s="60">
        <v>45778</v>
      </c>
      <c r="K3" s="61"/>
    </row>
    <row r="4" spans="1:14">
      <c r="A4" s="57">
        <v>1003</v>
      </c>
      <c r="B4" s="58" t="s">
        <v>20</v>
      </c>
      <c r="C4" s="58" t="s">
        <v>21</v>
      </c>
      <c r="D4" s="58" t="s">
        <v>22</v>
      </c>
      <c r="E4" s="58">
        <v>3</v>
      </c>
      <c r="F4" s="58">
        <v>4500</v>
      </c>
      <c r="G4" s="58" t="s">
        <v>13</v>
      </c>
      <c r="H4" s="58" t="s">
        <v>19</v>
      </c>
      <c r="I4" s="59">
        <v>45809</v>
      </c>
      <c r="J4" s="60">
        <v>45809</v>
      </c>
      <c r="K4" s="61"/>
    </row>
    <row r="5" spans="1:14">
      <c r="A5" s="62">
        <v>1004</v>
      </c>
      <c r="B5" s="63" t="s">
        <v>23</v>
      </c>
      <c r="C5" s="63" t="s">
        <v>24</v>
      </c>
      <c r="D5" s="63" t="s">
        <v>12</v>
      </c>
      <c r="E5" s="63">
        <v>8</v>
      </c>
      <c r="F5" s="63">
        <v>1200</v>
      </c>
      <c r="G5" s="63" t="s">
        <v>25</v>
      </c>
      <c r="H5" s="63" t="s">
        <v>14</v>
      </c>
      <c r="I5" s="59">
        <v>45809</v>
      </c>
      <c r="J5" s="60">
        <v>45809</v>
      </c>
      <c r="K5" s="61"/>
    </row>
    <row r="6" spans="1:14">
      <c r="A6" s="57">
        <v>1005</v>
      </c>
      <c r="B6" s="58" t="s">
        <v>26</v>
      </c>
      <c r="C6" s="58" t="s">
        <v>27</v>
      </c>
      <c r="D6" s="58" t="s">
        <v>28</v>
      </c>
      <c r="E6" s="58">
        <v>10</v>
      </c>
      <c r="F6" s="58">
        <v>600</v>
      </c>
      <c r="G6" s="58" t="s">
        <v>13</v>
      </c>
      <c r="H6" s="58" t="s">
        <v>29</v>
      </c>
      <c r="I6" s="59">
        <v>45809</v>
      </c>
      <c r="J6" s="60">
        <v>45809</v>
      </c>
      <c r="K6" s="61"/>
    </row>
    <row r="7" spans="1:14">
      <c r="A7" s="62">
        <v>1006</v>
      </c>
      <c r="B7" s="63" t="s">
        <v>30</v>
      </c>
      <c r="C7" s="63" t="s">
        <v>31</v>
      </c>
      <c r="D7" s="63" t="s">
        <v>22</v>
      </c>
      <c r="E7" s="63">
        <v>2</v>
      </c>
      <c r="F7" s="63">
        <v>2800</v>
      </c>
      <c r="G7" s="63" t="s">
        <v>32</v>
      </c>
      <c r="H7" s="63" t="s">
        <v>19</v>
      </c>
      <c r="I7" s="59">
        <v>45839</v>
      </c>
      <c r="J7" s="60">
        <v>45839</v>
      </c>
      <c r="K7" s="61"/>
    </row>
    <row r="8" spans="1:14">
      <c r="A8" s="57">
        <v>1007</v>
      </c>
      <c r="B8" s="58" t="s">
        <v>33</v>
      </c>
      <c r="C8" s="58" t="s">
        <v>34</v>
      </c>
      <c r="D8" s="58" t="s">
        <v>17</v>
      </c>
      <c r="E8" s="58">
        <v>1</v>
      </c>
      <c r="F8" s="58">
        <v>18000</v>
      </c>
      <c r="G8" s="58" t="s">
        <v>18</v>
      </c>
      <c r="H8" s="58" t="s">
        <v>19</v>
      </c>
      <c r="I8" s="59">
        <v>45839</v>
      </c>
      <c r="J8" s="60">
        <v>45839</v>
      </c>
      <c r="K8" s="61"/>
    </row>
    <row r="9" spans="1:14">
      <c r="A9" s="62">
        <v>1008</v>
      </c>
      <c r="B9" s="63" t="s">
        <v>35</v>
      </c>
      <c r="C9" s="63" t="s">
        <v>36</v>
      </c>
      <c r="D9" s="63" t="s">
        <v>12</v>
      </c>
      <c r="E9" s="63">
        <v>6</v>
      </c>
      <c r="F9" s="63">
        <v>900</v>
      </c>
      <c r="G9" s="63" t="s">
        <v>13</v>
      </c>
      <c r="H9" s="63" t="s">
        <v>14</v>
      </c>
      <c r="I9" s="59">
        <v>45839</v>
      </c>
      <c r="J9" s="60">
        <v>45839</v>
      </c>
      <c r="K9" s="61"/>
    </row>
    <row r="10" spans="1:14">
      <c r="A10" s="57">
        <v>1009</v>
      </c>
      <c r="B10" s="58" t="s">
        <v>37</v>
      </c>
      <c r="C10" s="58" t="s">
        <v>38</v>
      </c>
      <c r="D10" s="58" t="s">
        <v>12</v>
      </c>
      <c r="E10" s="58">
        <v>4</v>
      </c>
      <c r="F10" s="58">
        <v>700</v>
      </c>
      <c r="G10" s="58" t="s">
        <v>25</v>
      </c>
      <c r="H10" s="58" t="s">
        <v>29</v>
      </c>
      <c r="I10" s="59">
        <v>45870</v>
      </c>
      <c r="J10" s="60">
        <v>45870</v>
      </c>
      <c r="K10" s="61"/>
    </row>
    <row r="11" spans="1:14">
      <c r="A11" s="62">
        <v>1010</v>
      </c>
      <c r="B11" s="63" t="s">
        <v>39</v>
      </c>
      <c r="C11" s="63" t="s">
        <v>40</v>
      </c>
      <c r="D11" s="63" t="s">
        <v>22</v>
      </c>
      <c r="E11" s="63">
        <v>5</v>
      </c>
      <c r="F11" s="63">
        <v>6500</v>
      </c>
      <c r="G11" s="63" t="s">
        <v>13</v>
      </c>
      <c r="H11" s="63" t="s">
        <v>19</v>
      </c>
      <c r="I11" s="59">
        <v>45870</v>
      </c>
      <c r="J11" s="60">
        <v>45870</v>
      </c>
      <c r="K11" s="61"/>
      <c r="N11" s="64"/>
    </row>
    <row r="12" spans="1:14">
      <c r="A12" s="57">
        <v>1011</v>
      </c>
      <c r="B12" s="58" t="s">
        <v>41</v>
      </c>
      <c r="C12" s="58" t="s">
        <v>42</v>
      </c>
      <c r="D12" s="58" t="s">
        <v>17</v>
      </c>
      <c r="E12" s="58">
        <v>1</v>
      </c>
      <c r="F12" s="58">
        <v>25000</v>
      </c>
      <c r="G12" s="58" t="s">
        <v>18</v>
      </c>
      <c r="H12" s="58" t="s">
        <v>19</v>
      </c>
      <c r="I12" s="59">
        <v>45870</v>
      </c>
      <c r="J12" s="60">
        <v>45870</v>
      </c>
      <c r="K12" s="61"/>
    </row>
    <row r="13" spans="1:14">
      <c r="A13" s="62">
        <v>1012</v>
      </c>
      <c r="B13" s="63" t="s">
        <v>43</v>
      </c>
      <c r="C13" s="63" t="s">
        <v>44</v>
      </c>
      <c r="D13" s="63" t="s">
        <v>12</v>
      </c>
      <c r="E13" s="63">
        <v>7</v>
      </c>
      <c r="F13" s="63">
        <v>1100</v>
      </c>
      <c r="G13" s="63" t="s">
        <v>13</v>
      </c>
      <c r="H13" s="63" t="s">
        <v>14</v>
      </c>
      <c r="I13" s="59">
        <v>45901</v>
      </c>
      <c r="J13" s="60">
        <v>45901</v>
      </c>
      <c r="K13" s="61"/>
    </row>
    <row r="14" spans="1:14">
      <c r="A14" s="57">
        <v>1013</v>
      </c>
      <c r="B14" s="58" t="s">
        <v>45</v>
      </c>
      <c r="C14" s="58" t="s">
        <v>46</v>
      </c>
      <c r="D14" s="58" t="s">
        <v>28</v>
      </c>
      <c r="E14" s="58">
        <v>6</v>
      </c>
      <c r="F14" s="58">
        <v>420</v>
      </c>
      <c r="G14" s="58" t="s">
        <v>25</v>
      </c>
      <c r="H14" s="58" t="s">
        <v>29</v>
      </c>
      <c r="I14" s="59">
        <v>45901</v>
      </c>
      <c r="J14" s="60">
        <v>45901</v>
      </c>
      <c r="K14" s="61"/>
    </row>
    <row r="15" spans="1:14">
      <c r="A15" s="62">
        <v>1014</v>
      </c>
      <c r="B15" s="63" t="s">
        <v>47</v>
      </c>
      <c r="C15" s="63" t="s">
        <v>48</v>
      </c>
      <c r="D15" s="63" t="s">
        <v>22</v>
      </c>
      <c r="E15" s="63">
        <v>4</v>
      </c>
      <c r="F15" s="63">
        <v>5200</v>
      </c>
      <c r="G15" s="63" t="s">
        <v>32</v>
      </c>
      <c r="H15" s="63" t="s">
        <v>19</v>
      </c>
      <c r="I15" s="59">
        <v>45901</v>
      </c>
      <c r="J15" s="60">
        <v>45901</v>
      </c>
      <c r="K15" s="61"/>
    </row>
    <row r="16" spans="1:14">
      <c r="A16" s="57">
        <v>1015</v>
      </c>
      <c r="B16" s="58" t="s">
        <v>49</v>
      </c>
      <c r="C16" s="58" t="s">
        <v>50</v>
      </c>
      <c r="D16" s="58" t="s">
        <v>17</v>
      </c>
      <c r="E16" s="58">
        <v>2</v>
      </c>
      <c r="F16" s="58">
        <v>40000</v>
      </c>
      <c r="G16" s="58" t="s">
        <v>18</v>
      </c>
      <c r="H16" s="58" t="s">
        <v>19</v>
      </c>
      <c r="I16" s="59">
        <v>45931</v>
      </c>
      <c r="J16" s="60">
        <v>45931</v>
      </c>
      <c r="K16" s="61"/>
    </row>
    <row r="17" spans="1:11">
      <c r="A17" s="62">
        <v>1016</v>
      </c>
      <c r="B17" s="63" t="s">
        <v>51</v>
      </c>
      <c r="C17" s="63" t="s">
        <v>52</v>
      </c>
      <c r="D17" s="63" t="s">
        <v>12</v>
      </c>
      <c r="E17" s="63">
        <v>3</v>
      </c>
      <c r="F17" s="63">
        <v>500</v>
      </c>
      <c r="G17" s="63" t="s">
        <v>25</v>
      </c>
      <c r="H17" s="63" t="s">
        <v>29</v>
      </c>
      <c r="I17" s="59">
        <v>45931</v>
      </c>
      <c r="J17" s="60">
        <v>45931</v>
      </c>
      <c r="K17" s="61"/>
    </row>
    <row r="18" spans="1:11">
      <c r="A18" s="57">
        <v>1017</v>
      </c>
      <c r="B18" s="58" t="s">
        <v>53</v>
      </c>
      <c r="C18" s="58" t="s">
        <v>54</v>
      </c>
      <c r="D18" s="58" t="s">
        <v>12</v>
      </c>
      <c r="E18" s="58">
        <v>9</v>
      </c>
      <c r="F18" s="58">
        <v>1350</v>
      </c>
      <c r="G18" s="58" t="s">
        <v>13</v>
      </c>
      <c r="H18" s="58" t="s">
        <v>14</v>
      </c>
      <c r="I18" s="59">
        <v>45931</v>
      </c>
      <c r="J18" s="60">
        <v>45931</v>
      </c>
      <c r="K18" s="61"/>
    </row>
    <row r="19" spans="1:11">
      <c r="A19" s="62">
        <v>1018</v>
      </c>
      <c r="B19" s="63" t="s">
        <v>55</v>
      </c>
      <c r="C19" s="63" t="s">
        <v>56</v>
      </c>
      <c r="D19" s="63" t="s">
        <v>22</v>
      </c>
      <c r="E19" s="63">
        <v>2</v>
      </c>
      <c r="F19" s="63">
        <v>3000</v>
      </c>
      <c r="G19" s="63" t="s">
        <v>32</v>
      </c>
      <c r="H19" s="63" t="s">
        <v>19</v>
      </c>
      <c r="I19" s="59">
        <v>45962</v>
      </c>
      <c r="J19" s="60">
        <v>45962</v>
      </c>
      <c r="K19" s="61"/>
    </row>
    <row r="20" spans="1:11">
      <c r="A20" s="57">
        <v>1019</v>
      </c>
      <c r="B20" s="58" t="s">
        <v>57</v>
      </c>
      <c r="C20" s="58" t="s">
        <v>58</v>
      </c>
      <c r="D20" s="58" t="s">
        <v>17</v>
      </c>
      <c r="E20" s="58">
        <v>1</v>
      </c>
      <c r="F20" s="58">
        <v>15000</v>
      </c>
      <c r="G20" s="58" t="s">
        <v>18</v>
      </c>
      <c r="H20" s="58" t="s">
        <v>19</v>
      </c>
      <c r="I20" s="59">
        <v>45962</v>
      </c>
      <c r="J20" s="60">
        <v>45962</v>
      </c>
      <c r="K20" s="61"/>
    </row>
    <row r="21" spans="1:11">
      <c r="A21" s="62">
        <v>1020</v>
      </c>
      <c r="B21" s="63" t="s">
        <v>59</v>
      </c>
      <c r="C21" s="63" t="s">
        <v>60</v>
      </c>
      <c r="D21" s="63" t="s">
        <v>28</v>
      </c>
      <c r="E21" s="63">
        <v>12</v>
      </c>
      <c r="F21" s="63">
        <v>720</v>
      </c>
      <c r="G21" s="63" t="s">
        <v>13</v>
      </c>
      <c r="H21" s="63" t="s">
        <v>29</v>
      </c>
      <c r="I21" s="59">
        <v>45962</v>
      </c>
      <c r="J21" s="60">
        <v>45962</v>
      </c>
      <c r="K21" s="61"/>
    </row>
    <row r="22" spans="1:11">
      <c r="A22" s="57">
        <v>1021</v>
      </c>
      <c r="B22" s="58" t="s">
        <v>61</v>
      </c>
      <c r="C22" s="58" t="s">
        <v>62</v>
      </c>
      <c r="D22" s="58" t="s">
        <v>12</v>
      </c>
      <c r="E22" s="58">
        <v>6</v>
      </c>
      <c r="F22" s="58">
        <v>950</v>
      </c>
      <c r="G22" s="58" t="s">
        <v>25</v>
      </c>
      <c r="H22" s="58" t="s">
        <v>14</v>
      </c>
      <c r="I22" s="59">
        <v>45992</v>
      </c>
      <c r="J22" s="60">
        <v>45992</v>
      </c>
      <c r="K22" s="61"/>
    </row>
    <row r="23" spans="1:11">
      <c r="A23" s="62">
        <v>1022</v>
      </c>
      <c r="B23" s="63" t="s">
        <v>63</v>
      </c>
      <c r="C23" s="63" t="s">
        <v>64</v>
      </c>
      <c r="D23" s="63" t="s">
        <v>22</v>
      </c>
      <c r="E23" s="63">
        <v>3</v>
      </c>
      <c r="F23" s="63">
        <v>4100</v>
      </c>
      <c r="G23" s="63" t="s">
        <v>13</v>
      </c>
      <c r="H23" s="63" t="s">
        <v>19</v>
      </c>
      <c r="I23" s="59">
        <v>45992</v>
      </c>
      <c r="J23" s="60">
        <v>45992</v>
      </c>
      <c r="K23" s="61"/>
    </row>
    <row r="24" spans="1:11">
      <c r="A24" s="57">
        <v>1023</v>
      </c>
      <c r="B24" s="58" t="s">
        <v>65</v>
      </c>
      <c r="C24" s="58" t="s">
        <v>66</v>
      </c>
      <c r="D24" s="58" t="s">
        <v>17</v>
      </c>
      <c r="E24" s="58">
        <v>1</v>
      </c>
      <c r="F24" s="58">
        <v>22000</v>
      </c>
      <c r="G24" s="58" t="s">
        <v>18</v>
      </c>
      <c r="H24" s="58" t="s">
        <v>19</v>
      </c>
      <c r="I24" s="59">
        <v>45992</v>
      </c>
      <c r="J24" s="60">
        <v>45992</v>
      </c>
      <c r="K24" s="61"/>
    </row>
    <row r="25" spans="1:11">
      <c r="A25" s="62">
        <v>1024</v>
      </c>
      <c r="B25" s="63" t="s">
        <v>67</v>
      </c>
      <c r="C25" s="63" t="s">
        <v>68</v>
      </c>
      <c r="D25" s="63" t="s">
        <v>12</v>
      </c>
      <c r="E25" s="63">
        <v>5</v>
      </c>
      <c r="F25" s="63">
        <v>780</v>
      </c>
      <c r="G25" s="63" t="s">
        <v>13</v>
      </c>
      <c r="H25" s="63" t="s">
        <v>14</v>
      </c>
      <c r="I25" s="59">
        <v>45670</v>
      </c>
      <c r="J25" s="60">
        <v>45670</v>
      </c>
      <c r="K25" s="61"/>
    </row>
    <row r="26" spans="1:11">
      <c r="A26" s="57">
        <v>1025</v>
      </c>
      <c r="B26" s="58" t="s">
        <v>69</v>
      </c>
      <c r="C26" s="58" t="s">
        <v>70</v>
      </c>
      <c r="D26" s="58" t="s">
        <v>28</v>
      </c>
      <c r="E26" s="58">
        <v>8</v>
      </c>
      <c r="F26" s="58">
        <v>560</v>
      </c>
      <c r="G26" s="58" t="s">
        <v>25</v>
      </c>
      <c r="H26" s="58" t="s">
        <v>29</v>
      </c>
      <c r="I26" s="59">
        <v>45670</v>
      </c>
      <c r="J26" s="60">
        <v>45670</v>
      </c>
      <c r="K26" s="61"/>
    </row>
    <row r="27" spans="1:11">
      <c r="A27" s="62">
        <v>1026</v>
      </c>
      <c r="B27" s="63" t="s">
        <v>71</v>
      </c>
      <c r="C27" s="63" t="s">
        <v>72</v>
      </c>
      <c r="D27" s="63" t="s">
        <v>12</v>
      </c>
      <c r="E27" s="63">
        <v>7</v>
      </c>
      <c r="F27" s="63">
        <v>1050</v>
      </c>
      <c r="G27" s="63" t="s">
        <v>13</v>
      </c>
      <c r="H27" s="63" t="s">
        <v>14</v>
      </c>
      <c r="I27" s="59">
        <v>45670</v>
      </c>
      <c r="J27" s="60">
        <v>45670</v>
      </c>
      <c r="K27" s="61"/>
    </row>
    <row r="28" spans="1:11">
      <c r="A28" s="57">
        <v>1027</v>
      </c>
      <c r="B28" s="58" t="s">
        <v>73</v>
      </c>
      <c r="C28" s="58" t="s">
        <v>74</v>
      </c>
      <c r="D28" s="58" t="s">
        <v>22</v>
      </c>
      <c r="E28" s="58">
        <v>4</v>
      </c>
      <c r="F28" s="58">
        <v>4800</v>
      </c>
      <c r="G28" s="58" t="s">
        <v>32</v>
      </c>
      <c r="H28" s="58" t="s">
        <v>19</v>
      </c>
      <c r="I28" s="59">
        <v>45671</v>
      </c>
      <c r="J28" s="60">
        <v>45671</v>
      </c>
      <c r="K28" s="61"/>
    </row>
    <row r="29" spans="1:11">
      <c r="A29" s="62">
        <v>1028</v>
      </c>
      <c r="B29" s="63" t="s">
        <v>75</v>
      </c>
      <c r="C29" s="63" t="s">
        <v>76</v>
      </c>
      <c r="D29" s="63" t="s">
        <v>17</v>
      </c>
      <c r="E29" s="63">
        <v>1</v>
      </c>
      <c r="F29" s="63">
        <v>28000</v>
      </c>
      <c r="G29" s="63" t="s">
        <v>18</v>
      </c>
      <c r="H29" s="63" t="s">
        <v>19</v>
      </c>
      <c r="I29" s="59">
        <v>45671</v>
      </c>
      <c r="J29" s="60">
        <v>45671</v>
      </c>
      <c r="K29" s="61"/>
    </row>
    <row r="30" spans="1:11">
      <c r="A30" s="57">
        <v>1029</v>
      </c>
      <c r="B30" s="58" t="s">
        <v>77</v>
      </c>
      <c r="C30" s="58" t="s">
        <v>78</v>
      </c>
      <c r="D30" s="58" t="s">
        <v>12</v>
      </c>
      <c r="E30" s="58">
        <v>6</v>
      </c>
      <c r="F30" s="58">
        <v>900</v>
      </c>
      <c r="G30" s="58" t="s">
        <v>25</v>
      </c>
      <c r="H30" s="58" t="s">
        <v>14</v>
      </c>
      <c r="I30" s="59">
        <v>45671</v>
      </c>
      <c r="J30" s="60">
        <v>45671</v>
      </c>
      <c r="K30" s="61"/>
    </row>
    <row r="31" spans="1:11">
      <c r="A31" s="62">
        <v>1030</v>
      </c>
      <c r="B31" s="63" t="s">
        <v>79</v>
      </c>
      <c r="C31" s="63" t="s">
        <v>80</v>
      </c>
      <c r="D31" s="63" t="s">
        <v>22</v>
      </c>
      <c r="E31" s="63">
        <v>3</v>
      </c>
      <c r="F31" s="63">
        <v>3900</v>
      </c>
      <c r="G31" s="63" t="s">
        <v>13</v>
      </c>
      <c r="H31" s="63" t="s">
        <v>19</v>
      </c>
      <c r="I31" s="59">
        <v>45672</v>
      </c>
      <c r="J31" s="60">
        <v>45672</v>
      </c>
      <c r="K31" s="61"/>
    </row>
    <row r="32" spans="1:11">
      <c r="A32" s="57">
        <v>1031</v>
      </c>
      <c r="B32" s="58" t="s">
        <v>81</v>
      </c>
      <c r="C32" s="58" t="s">
        <v>82</v>
      </c>
      <c r="D32" s="58" t="s">
        <v>28</v>
      </c>
      <c r="E32" s="58">
        <v>9</v>
      </c>
      <c r="F32" s="58">
        <v>540</v>
      </c>
      <c r="G32" s="58" t="s">
        <v>25</v>
      </c>
      <c r="H32" s="58" t="s">
        <v>29</v>
      </c>
      <c r="I32" s="59">
        <v>45672</v>
      </c>
      <c r="J32" s="60">
        <v>45672</v>
      </c>
      <c r="K32" s="61"/>
    </row>
    <row r="33" spans="1:11">
      <c r="A33" s="62">
        <v>1032</v>
      </c>
      <c r="B33" s="63" t="s">
        <v>83</v>
      </c>
      <c r="C33" s="63" t="s">
        <v>38</v>
      </c>
      <c r="D33" s="63" t="s">
        <v>12</v>
      </c>
      <c r="E33" s="63">
        <v>4</v>
      </c>
      <c r="F33" s="63">
        <v>650</v>
      </c>
      <c r="G33" s="63" t="s">
        <v>13</v>
      </c>
      <c r="H33" s="63" t="s">
        <v>14</v>
      </c>
      <c r="I33" s="59">
        <v>45672</v>
      </c>
      <c r="J33" s="60">
        <v>45672</v>
      </c>
      <c r="K33" s="61"/>
    </row>
    <row r="34" spans="1:11">
      <c r="A34" s="57">
        <v>1033</v>
      </c>
      <c r="B34" s="58" t="s">
        <v>84</v>
      </c>
      <c r="C34" s="58" t="s">
        <v>85</v>
      </c>
      <c r="D34" s="58" t="s">
        <v>17</v>
      </c>
      <c r="E34" s="58">
        <v>2</v>
      </c>
      <c r="F34" s="58">
        <v>36000</v>
      </c>
      <c r="G34" s="58" t="s">
        <v>18</v>
      </c>
      <c r="H34" s="58" t="s">
        <v>19</v>
      </c>
      <c r="I34" s="59">
        <v>45673</v>
      </c>
      <c r="J34" s="60">
        <v>45673</v>
      </c>
      <c r="K34" s="61"/>
    </row>
    <row r="35" spans="1:11">
      <c r="A35" s="62">
        <v>1034</v>
      </c>
      <c r="B35" s="63" t="s">
        <v>86</v>
      </c>
      <c r="C35" s="63" t="s">
        <v>87</v>
      </c>
      <c r="D35" s="63" t="s">
        <v>22</v>
      </c>
      <c r="E35" s="63">
        <v>5</v>
      </c>
      <c r="F35" s="63">
        <v>7200</v>
      </c>
      <c r="G35" s="63" t="s">
        <v>32</v>
      </c>
      <c r="H35" s="63" t="s">
        <v>19</v>
      </c>
      <c r="I35" s="59">
        <v>45673</v>
      </c>
      <c r="J35" s="60">
        <v>45673</v>
      </c>
      <c r="K35" s="61"/>
    </row>
    <row r="36" spans="1:11">
      <c r="A36" s="57">
        <v>1035</v>
      </c>
      <c r="B36" s="58" t="s">
        <v>88</v>
      </c>
      <c r="C36" s="58" t="s">
        <v>89</v>
      </c>
      <c r="D36" s="58" t="s">
        <v>12</v>
      </c>
      <c r="E36" s="58">
        <v>6</v>
      </c>
      <c r="F36" s="58">
        <v>980</v>
      </c>
      <c r="G36" s="58" t="s">
        <v>13</v>
      </c>
      <c r="H36" s="58" t="s">
        <v>14</v>
      </c>
      <c r="I36" s="59">
        <v>45673</v>
      </c>
      <c r="J36" s="60">
        <v>45673</v>
      </c>
      <c r="K36" s="61"/>
    </row>
    <row r="37" spans="1:11">
      <c r="A37" s="62">
        <v>1036</v>
      </c>
      <c r="B37" s="63" t="s">
        <v>90</v>
      </c>
      <c r="C37" s="63" t="s">
        <v>91</v>
      </c>
      <c r="D37" s="63" t="s">
        <v>22</v>
      </c>
      <c r="E37" s="63">
        <v>4</v>
      </c>
      <c r="F37" s="63">
        <v>5600</v>
      </c>
      <c r="G37" s="63" t="s">
        <v>13</v>
      </c>
      <c r="H37" s="63" t="s">
        <v>19</v>
      </c>
      <c r="I37" s="59">
        <v>45674</v>
      </c>
      <c r="J37" s="60">
        <v>45674</v>
      </c>
      <c r="K37" s="61"/>
    </row>
    <row r="38" spans="1:11">
      <c r="A38" s="57">
        <v>1037</v>
      </c>
      <c r="B38" s="58" t="s">
        <v>92</v>
      </c>
      <c r="C38" s="58" t="s">
        <v>93</v>
      </c>
      <c r="D38" s="58" t="s">
        <v>28</v>
      </c>
      <c r="E38" s="58">
        <v>11</v>
      </c>
      <c r="F38" s="58">
        <v>660</v>
      </c>
      <c r="G38" s="58" t="s">
        <v>25</v>
      </c>
      <c r="H38" s="58" t="s">
        <v>29</v>
      </c>
      <c r="I38" s="59">
        <v>45674</v>
      </c>
      <c r="J38" s="60">
        <v>45674</v>
      </c>
      <c r="K38" s="61"/>
    </row>
    <row r="39" spans="1:11">
      <c r="A39" s="62">
        <v>1038</v>
      </c>
      <c r="B39" s="63" t="s">
        <v>94</v>
      </c>
      <c r="C39" s="63" t="s">
        <v>95</v>
      </c>
      <c r="D39" s="63" t="s">
        <v>12</v>
      </c>
      <c r="E39" s="63">
        <v>5</v>
      </c>
      <c r="F39" s="63">
        <v>820</v>
      </c>
      <c r="G39" s="63" t="s">
        <v>13</v>
      </c>
      <c r="H39" s="63" t="s">
        <v>14</v>
      </c>
      <c r="I39" s="59">
        <v>45674</v>
      </c>
      <c r="J39" s="60">
        <v>45674</v>
      </c>
      <c r="K39" s="61"/>
    </row>
    <row r="40" spans="1:11">
      <c r="A40" s="57">
        <v>1039</v>
      </c>
      <c r="B40" s="58" t="s">
        <v>96</v>
      </c>
      <c r="C40" s="58" t="s">
        <v>97</v>
      </c>
      <c r="D40" s="58" t="s">
        <v>17</v>
      </c>
      <c r="E40" s="58">
        <v>1</v>
      </c>
      <c r="F40" s="58">
        <v>26000</v>
      </c>
      <c r="G40" s="58" t="s">
        <v>18</v>
      </c>
      <c r="H40" s="58" t="s">
        <v>19</v>
      </c>
      <c r="I40" s="59">
        <v>45675</v>
      </c>
      <c r="J40" s="60">
        <v>45675</v>
      </c>
      <c r="K40" s="61"/>
    </row>
    <row r="41" spans="1:11">
      <c r="A41" s="62">
        <v>1040</v>
      </c>
      <c r="B41" s="63" t="s">
        <v>98</v>
      </c>
      <c r="C41" s="63" t="s">
        <v>99</v>
      </c>
      <c r="D41" s="63" t="s">
        <v>22</v>
      </c>
      <c r="E41" s="63">
        <v>3</v>
      </c>
      <c r="F41" s="63">
        <v>4300</v>
      </c>
      <c r="G41" s="63" t="s">
        <v>32</v>
      </c>
      <c r="H41" s="63" t="s">
        <v>19</v>
      </c>
      <c r="I41" s="59">
        <v>45675</v>
      </c>
      <c r="J41" s="60">
        <v>45675</v>
      </c>
      <c r="K41" s="61"/>
    </row>
    <row r="42" spans="1:11">
      <c r="A42" s="57">
        <v>1041</v>
      </c>
      <c r="B42" s="58" t="s">
        <v>100</v>
      </c>
      <c r="C42" s="58" t="s">
        <v>101</v>
      </c>
      <c r="D42" s="58" t="s">
        <v>12</v>
      </c>
      <c r="E42" s="58">
        <v>7</v>
      </c>
      <c r="F42" s="58">
        <v>1150</v>
      </c>
      <c r="G42" s="58" t="s">
        <v>13</v>
      </c>
      <c r="H42" s="58" t="s">
        <v>14</v>
      </c>
      <c r="I42" s="59">
        <v>45675</v>
      </c>
      <c r="J42" s="60">
        <v>45675</v>
      </c>
      <c r="K42" s="61"/>
    </row>
    <row r="43" spans="1:11">
      <c r="A43" s="62">
        <v>1042</v>
      </c>
      <c r="B43" s="63" t="s">
        <v>102</v>
      </c>
      <c r="C43" s="63" t="s">
        <v>103</v>
      </c>
      <c r="D43" s="63" t="s">
        <v>17</v>
      </c>
      <c r="E43" s="63">
        <v>1</v>
      </c>
      <c r="F43" s="63">
        <v>30000</v>
      </c>
      <c r="G43" s="63" t="s">
        <v>18</v>
      </c>
      <c r="H43" s="63" t="s">
        <v>19</v>
      </c>
      <c r="I43" s="59">
        <v>45676</v>
      </c>
      <c r="J43" s="60">
        <v>45676</v>
      </c>
      <c r="K43" s="61"/>
    </row>
    <row r="44" spans="1:11">
      <c r="A44" s="57">
        <v>1043</v>
      </c>
      <c r="B44" s="58" t="s">
        <v>104</v>
      </c>
      <c r="C44" s="58" t="s">
        <v>105</v>
      </c>
      <c r="D44" s="58" t="s">
        <v>28</v>
      </c>
      <c r="E44" s="58">
        <v>10</v>
      </c>
      <c r="F44" s="58">
        <v>600</v>
      </c>
      <c r="G44" s="58" t="s">
        <v>25</v>
      </c>
      <c r="H44" s="58" t="s">
        <v>29</v>
      </c>
      <c r="I44" s="59">
        <v>45676</v>
      </c>
      <c r="J44" s="60">
        <v>45676</v>
      </c>
      <c r="K44" s="61"/>
    </row>
    <row r="45" spans="1:11">
      <c r="A45" s="62">
        <v>1044</v>
      </c>
      <c r="B45" s="63" t="s">
        <v>106</v>
      </c>
      <c r="C45" s="63" t="s">
        <v>107</v>
      </c>
      <c r="D45" s="63" t="s">
        <v>12</v>
      </c>
      <c r="E45" s="63">
        <v>6</v>
      </c>
      <c r="F45" s="63">
        <v>900</v>
      </c>
      <c r="G45" s="63" t="s">
        <v>13</v>
      </c>
      <c r="H45" s="63" t="s">
        <v>14</v>
      </c>
      <c r="I45" s="59">
        <v>45676</v>
      </c>
      <c r="J45" s="60">
        <v>45676</v>
      </c>
      <c r="K45" s="61"/>
    </row>
    <row r="46" spans="1:11">
      <c r="A46" s="57">
        <v>1045</v>
      </c>
      <c r="B46" s="58" t="s">
        <v>108</v>
      </c>
      <c r="C46" s="58" t="s">
        <v>109</v>
      </c>
      <c r="D46" s="58" t="s">
        <v>22</v>
      </c>
      <c r="E46" s="58">
        <v>4</v>
      </c>
      <c r="F46" s="58">
        <v>5100</v>
      </c>
      <c r="G46" s="58" t="s">
        <v>32</v>
      </c>
      <c r="H46" s="58" t="s">
        <v>19</v>
      </c>
      <c r="I46" s="59">
        <v>45677</v>
      </c>
      <c r="J46" s="60">
        <v>45677</v>
      </c>
      <c r="K46" s="61"/>
    </row>
    <row r="47" spans="1:11">
      <c r="A47" s="62">
        <v>1046</v>
      </c>
      <c r="B47" s="63" t="s">
        <v>110</v>
      </c>
      <c r="C47" s="63" t="s">
        <v>111</v>
      </c>
      <c r="D47" s="63" t="s">
        <v>12</v>
      </c>
      <c r="E47" s="63">
        <v>8</v>
      </c>
      <c r="F47" s="63">
        <v>1300</v>
      </c>
      <c r="G47" s="63" t="s">
        <v>25</v>
      </c>
      <c r="H47" s="63" t="s">
        <v>14</v>
      </c>
      <c r="I47" s="59">
        <v>45677</v>
      </c>
      <c r="J47" s="60">
        <v>45677</v>
      </c>
      <c r="K47" s="61"/>
    </row>
    <row r="48" spans="1:11">
      <c r="A48" s="57">
        <v>1047</v>
      </c>
      <c r="B48" s="58" t="s">
        <v>112</v>
      </c>
      <c r="C48" s="58" t="s">
        <v>113</v>
      </c>
      <c r="D48" s="58" t="s">
        <v>17</v>
      </c>
      <c r="E48" s="58">
        <v>1</v>
      </c>
      <c r="F48" s="58">
        <v>24000</v>
      </c>
      <c r="G48" s="58" t="s">
        <v>18</v>
      </c>
      <c r="H48" s="58" t="s">
        <v>19</v>
      </c>
      <c r="I48" s="59">
        <v>45677</v>
      </c>
      <c r="J48" s="60">
        <v>45677</v>
      </c>
      <c r="K48" s="61"/>
    </row>
    <row r="49" spans="1:11">
      <c r="A49" s="62">
        <v>1048</v>
      </c>
      <c r="B49" s="63" t="s">
        <v>114</v>
      </c>
      <c r="C49" s="63" t="s">
        <v>115</v>
      </c>
      <c r="D49" s="63" t="s">
        <v>22</v>
      </c>
      <c r="E49" s="63">
        <v>5</v>
      </c>
      <c r="F49" s="63">
        <v>6800</v>
      </c>
      <c r="G49" s="63" t="s">
        <v>13</v>
      </c>
      <c r="H49" s="63" t="s">
        <v>19</v>
      </c>
      <c r="I49" s="59">
        <v>45678</v>
      </c>
      <c r="J49" s="60">
        <v>45678</v>
      </c>
      <c r="K49" s="61"/>
    </row>
    <row r="50" spans="1:11">
      <c r="A50" s="57">
        <v>1049</v>
      </c>
      <c r="B50" s="58" t="s">
        <v>116</v>
      </c>
      <c r="C50" s="58" t="s">
        <v>117</v>
      </c>
      <c r="D50" s="58" t="s">
        <v>12</v>
      </c>
      <c r="E50" s="58">
        <v>6</v>
      </c>
      <c r="F50" s="58">
        <v>950</v>
      </c>
      <c r="G50" s="58" t="s">
        <v>25</v>
      </c>
      <c r="H50" s="58" t="s">
        <v>14</v>
      </c>
      <c r="I50" s="59">
        <v>45678</v>
      </c>
      <c r="J50" s="60">
        <v>45678</v>
      </c>
      <c r="K50" s="61"/>
    </row>
    <row r="51" spans="1:11">
      <c r="A51" s="65">
        <v>1050</v>
      </c>
      <c r="B51" s="66" t="s">
        <v>118</v>
      </c>
      <c r="C51" s="66" t="s">
        <v>119</v>
      </c>
      <c r="D51" s="66" t="s">
        <v>28</v>
      </c>
      <c r="E51" s="66">
        <v>7</v>
      </c>
      <c r="F51" s="66">
        <v>420</v>
      </c>
      <c r="G51" s="66" t="s">
        <v>13</v>
      </c>
      <c r="H51" s="66" t="s">
        <v>29</v>
      </c>
      <c r="I51" s="59">
        <v>45678</v>
      </c>
      <c r="J51" s="60">
        <v>45678</v>
      </c>
      <c r="K51" s="67"/>
    </row>
  </sheetData>
  <conditionalFormatting sqref="B2:B51">
    <cfRule type="duplicateValues" dxfId="20" priority="1"/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9"/>
  <sheetViews>
    <sheetView workbookViewId="0">
      <selection activeCell="O17" sqref="O17"/>
    </sheetView>
  </sheetViews>
  <sheetFormatPr defaultColWidth="9" defaultRowHeight="16.8" outlineLevelCol="4"/>
  <cols>
    <col min="2" max="2" width="20.9375" customWidth="1"/>
    <col min="3" max="3" width="15.6171875" customWidth="1"/>
    <col min="4" max="4" width="15.625" customWidth="1"/>
    <col min="5" max="5" width="16.140625" customWidth="1"/>
  </cols>
  <sheetData>
    <row r="2" ht="21.15" spans="2:5">
      <c r="B2" s="38" t="s">
        <v>120</v>
      </c>
      <c r="C2" s="39"/>
      <c r="D2" s="40"/>
    </row>
    <row r="3" ht="17.6" spans="2:5">
      <c r="B3" s="41" t="s">
        <v>121</v>
      </c>
      <c r="C3" s="41" t="s">
        <v>122</v>
      </c>
      <c r="D3" s="41" t="s">
        <v>123</v>
      </c>
    </row>
    <row r="4" spans="2:5">
      <c r="B4" s="42" t="s">
        <v>124</v>
      </c>
      <c r="C4" s="42">
        <v>0</v>
      </c>
      <c r="D4" s="42" t="s">
        <v>125</v>
      </c>
    </row>
    <row r="5" spans="2:5">
      <c r="B5" s="42" t="s">
        <v>126</v>
      </c>
      <c r="C5" s="42">
        <f>COUNTBLANK(DATA!A1:I51)</f>
        <v>0</v>
      </c>
      <c r="D5" s="42" t="s">
        <v>125</v>
      </c>
    </row>
    <row r="6" spans="2:5">
      <c r="B6" s="42" t="s">
        <v>127</v>
      </c>
      <c r="C6" s="42">
        <v>0</v>
      </c>
      <c r="D6" s="42" t="s">
        <v>125</v>
      </c>
    </row>
    <row r="7" spans="2:5">
      <c r="B7" s="42" t="s">
        <v>128</v>
      </c>
      <c r="C7" s="42">
        <v>0</v>
      </c>
      <c r="D7" s="42" t="s">
        <v>125</v>
      </c>
    </row>
    <row r="9" ht="17.55"/>
    <row r="10" ht="23.95" spans="2:5">
      <c r="B10" s="43" t="s">
        <v>129</v>
      </c>
      <c r="C10" s="44"/>
      <c r="D10" s="44"/>
      <c r="E10" s="45"/>
    </row>
    <row r="11" spans="2:5">
      <c r="B11" s="46" t="s">
        <v>130</v>
      </c>
      <c r="C11" s="46" t="s">
        <v>131</v>
      </c>
      <c r="D11" s="46" t="s">
        <v>132</v>
      </c>
      <c r="E11" s="46" t="s">
        <v>133</v>
      </c>
    </row>
    <row r="12" spans="2:5">
      <c r="B12" s="47" t="s">
        <v>2</v>
      </c>
      <c r="C12" s="35" t="s">
        <v>134</v>
      </c>
      <c r="D12" s="35" t="s">
        <v>135</v>
      </c>
      <c r="E12" s="35" t="s">
        <v>136</v>
      </c>
    </row>
    <row r="13" spans="2:5">
      <c r="B13" s="47" t="s">
        <v>3</v>
      </c>
      <c r="C13" s="35" t="s">
        <v>134</v>
      </c>
      <c r="D13" s="35" t="s">
        <v>135</v>
      </c>
      <c r="E13" s="35" t="s">
        <v>136</v>
      </c>
    </row>
    <row r="14" spans="2:5">
      <c r="B14" s="47" t="s">
        <v>5</v>
      </c>
      <c r="C14" s="35" t="s">
        <v>137</v>
      </c>
      <c r="D14" s="35" t="s">
        <v>138</v>
      </c>
      <c r="E14" s="35" t="s">
        <v>136</v>
      </c>
    </row>
    <row r="15" spans="2:5">
      <c r="B15" s="47" t="s">
        <v>6</v>
      </c>
      <c r="C15" s="35" t="s">
        <v>134</v>
      </c>
      <c r="D15" s="35" t="s">
        <v>135</v>
      </c>
      <c r="E15" s="35" t="s">
        <v>136</v>
      </c>
    </row>
    <row r="16" spans="2:5">
      <c r="B16" s="47" t="s">
        <v>7</v>
      </c>
      <c r="C16" s="35" t="s">
        <v>134</v>
      </c>
      <c r="D16" s="35" t="s">
        <v>135</v>
      </c>
      <c r="E16" s="35" t="s">
        <v>136</v>
      </c>
    </row>
    <row r="17" ht="34" spans="2:5">
      <c r="B17" s="47" t="s">
        <v>8</v>
      </c>
      <c r="C17" s="35" t="s">
        <v>139</v>
      </c>
      <c r="D17" s="48" t="s">
        <v>140</v>
      </c>
      <c r="E17" s="48" t="s">
        <v>141</v>
      </c>
    </row>
    <row r="18" spans="2:5">
      <c r="B18" s="49"/>
    </row>
    <row r="19" spans="2:5">
      <c r="B19" s="50"/>
    </row>
  </sheetData>
  <mergeCells count="2">
    <mergeCell ref="B2:D2"/>
    <mergeCell ref="B10:E10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9"/>
  <sheetViews>
    <sheetView zoomScale="68" zoomScaleNormal="68" workbookViewId="0">
      <selection activeCell="C11" sqref="C11"/>
    </sheetView>
  </sheetViews>
  <sheetFormatPr defaultColWidth="9" defaultRowHeight="16.8"/>
  <cols>
    <col min="2" max="2" width="11.4375"/>
    <col min="3" max="3" width="19.8125"/>
    <col min="4" max="5" width="10.1484375" customWidth="1"/>
    <col min="6" max="9" width="21.8125"/>
    <col min="10" max="10" width="19.8125"/>
    <col min="12" max="12" width="18.625"/>
    <col min="13" max="13" width="19.8125"/>
    <col min="15" max="15" width="11.4375"/>
    <col min="16" max="16" width="19.8125"/>
  </cols>
  <sheetData>
    <row r="2" ht="20.4" spans="2:16">
      <c r="B2" s="31" t="s">
        <v>142</v>
      </c>
      <c r="C2" s="32"/>
      <c r="D2" s="33"/>
      <c r="E2" s="33"/>
      <c r="F2" s="34" t="s">
        <v>143</v>
      </c>
      <c r="G2" s="34"/>
      <c r="I2" s="31" t="s">
        <v>144</v>
      </c>
      <c r="J2" s="32"/>
      <c r="L2" s="31" t="s">
        <v>145</v>
      </c>
      <c r="M2" s="32"/>
      <c r="O2" s="31" t="s">
        <v>146</v>
      </c>
      <c r="P2" s="32"/>
    </row>
    <row r="3" spans="2:16">
      <c r="B3" s="35" t="s">
        <v>2</v>
      </c>
      <c r="C3" s="35" t="s">
        <v>147</v>
      </c>
      <c r="D3"/>
      <c r="F3" s="35" t="s">
        <v>3</v>
      </c>
      <c r="G3" s="35" t="s">
        <v>147</v>
      </c>
      <c r="H3"/>
      <c r="I3" s="35" t="s">
        <v>7</v>
      </c>
      <c r="J3" s="35" t="s">
        <v>147</v>
      </c>
      <c r="K3"/>
      <c r="L3" s="35" t="s">
        <v>6</v>
      </c>
      <c r="M3" s="35" t="s">
        <v>147</v>
      </c>
      <c r="N3"/>
      <c r="O3" s="35" t="s">
        <v>8</v>
      </c>
      <c r="P3" s="35" t="s">
        <v>147</v>
      </c>
    </row>
    <row r="4" spans="2:16">
      <c r="B4" s="35" t="s">
        <v>103</v>
      </c>
      <c r="C4" s="36">
        <v>30000</v>
      </c>
      <c r="D4"/>
      <c r="F4" s="35" t="s">
        <v>22</v>
      </c>
      <c r="G4" s="35">
        <v>63800</v>
      </c>
      <c r="H4"/>
      <c r="I4" s="35" t="s">
        <v>29</v>
      </c>
      <c r="J4" s="35">
        <v>5720</v>
      </c>
      <c r="K4"/>
      <c r="L4" s="35" t="s">
        <v>25</v>
      </c>
      <c r="M4" s="35">
        <v>9280</v>
      </c>
      <c r="N4"/>
      <c r="O4" s="35" t="s">
        <v>148</v>
      </c>
      <c r="P4" s="35">
        <v>193960</v>
      </c>
    </row>
    <row r="5" spans="2:16">
      <c r="B5" s="35" t="s">
        <v>50</v>
      </c>
      <c r="C5" s="36">
        <v>40000</v>
      </c>
      <c r="D5"/>
      <c r="F5" s="35" t="s">
        <v>17</v>
      </c>
      <c r="G5" s="35">
        <v>296000</v>
      </c>
      <c r="H5"/>
      <c r="I5" s="35" t="s">
        <v>19</v>
      </c>
      <c r="J5" s="35">
        <v>359800</v>
      </c>
      <c r="K5"/>
      <c r="L5" s="35" t="s">
        <v>18</v>
      </c>
      <c r="M5" s="35">
        <v>296000</v>
      </c>
      <c r="N5"/>
      <c r="O5" s="35" t="s">
        <v>149</v>
      </c>
      <c r="P5" s="35">
        <v>32850</v>
      </c>
    </row>
    <row r="6" spans="2:16">
      <c r="B6" s="35" t="s">
        <v>36</v>
      </c>
      <c r="C6" s="36">
        <v>900</v>
      </c>
      <c r="D6"/>
      <c r="F6" s="35" t="s">
        <v>12</v>
      </c>
      <c r="G6" s="35">
        <v>17030</v>
      </c>
      <c r="H6"/>
      <c r="I6" s="35" t="s">
        <v>14</v>
      </c>
      <c r="J6" s="35">
        <v>15830</v>
      </c>
      <c r="K6"/>
      <c r="L6" s="35" t="s">
        <v>32</v>
      </c>
      <c r="M6" s="35">
        <v>32400</v>
      </c>
      <c r="N6"/>
      <c r="O6" s="35" t="s">
        <v>150</v>
      </c>
      <c r="P6" s="35">
        <v>6300</v>
      </c>
    </row>
    <row r="7" spans="2:16">
      <c r="B7" s="35" t="s">
        <v>34</v>
      </c>
      <c r="C7" s="36">
        <v>18000</v>
      </c>
      <c r="D7"/>
      <c r="F7" s="35" t="s">
        <v>28</v>
      </c>
      <c r="G7" s="35">
        <v>4520</v>
      </c>
      <c r="H7"/>
      <c r="I7" s="35" t="s">
        <v>151</v>
      </c>
      <c r="J7" s="35">
        <v>381350</v>
      </c>
      <c r="K7"/>
      <c r="L7" s="35" t="s">
        <v>13</v>
      </c>
      <c r="M7" s="35">
        <v>43670</v>
      </c>
      <c r="N7"/>
      <c r="O7" s="35" t="s">
        <v>152</v>
      </c>
      <c r="P7" s="35">
        <v>21700</v>
      </c>
    </row>
    <row r="8" spans="2:16">
      <c r="B8" s="35" t="s">
        <v>42</v>
      </c>
      <c r="C8" s="36">
        <v>25000</v>
      </c>
      <c r="D8"/>
      <c r="F8" s="35" t="s">
        <v>151</v>
      </c>
      <c r="G8" s="35">
        <v>381350</v>
      </c>
      <c r="H8"/>
      <c r="I8"/>
      <c r="J8"/>
      <c r="K8"/>
      <c r="L8" s="35" t="s">
        <v>151</v>
      </c>
      <c r="M8" s="35">
        <v>381350</v>
      </c>
      <c r="N8"/>
      <c r="O8" s="35" t="s">
        <v>153</v>
      </c>
      <c r="P8" s="35">
        <v>32200</v>
      </c>
    </row>
    <row r="9" spans="2:16">
      <c r="B9" s="35" t="s">
        <v>97</v>
      </c>
      <c r="C9" s="36">
        <v>26000</v>
      </c>
      <c r="D9"/>
      <c r="O9" s="35" t="s">
        <v>154</v>
      </c>
      <c r="P9" s="35">
        <v>6720</v>
      </c>
    </row>
    <row r="10" spans="2:16">
      <c r="B10" s="35" t="s">
        <v>66</v>
      </c>
      <c r="C10" s="36">
        <v>22000</v>
      </c>
      <c r="D10"/>
      <c r="O10" s="35" t="s">
        <v>155</v>
      </c>
      <c r="P10" s="35">
        <v>41850</v>
      </c>
    </row>
    <row r="11" spans="2:16">
      <c r="B11" s="35" t="s">
        <v>16</v>
      </c>
      <c r="C11" s="36">
        <v>32000</v>
      </c>
      <c r="D11"/>
      <c r="O11" s="35" t="s">
        <v>156</v>
      </c>
      <c r="P11" s="35">
        <v>18720</v>
      </c>
    </row>
    <row r="12" spans="2:16">
      <c r="B12" s="35" t="s">
        <v>85</v>
      </c>
      <c r="C12" s="36">
        <v>36000</v>
      </c>
      <c r="D12"/>
      <c r="O12" s="35" t="s">
        <v>157</v>
      </c>
      <c r="P12" s="35">
        <v>27050</v>
      </c>
    </row>
    <row r="13" spans="2:16">
      <c r="B13" s="35" t="s">
        <v>76</v>
      </c>
      <c r="C13" s="36">
        <v>28000</v>
      </c>
      <c r="D13"/>
      <c r="O13" s="35" t="s">
        <v>151</v>
      </c>
      <c r="P13" s="35">
        <v>381350</v>
      </c>
    </row>
    <row r="14" spans="2:16">
      <c r="B14" s="35" t="s">
        <v>113</v>
      </c>
      <c r="C14" s="36">
        <v>24000</v>
      </c>
    </row>
    <row r="15" spans="2:16">
      <c r="B15" s="35" t="s">
        <v>151</v>
      </c>
      <c r="C15" s="36">
        <v>281900</v>
      </c>
    </row>
    <row r="17" ht="20.4" spans="6:9">
      <c r="F17" s="34" t="s">
        <v>158</v>
      </c>
      <c r="G17" s="37"/>
      <c r="H17" s="37"/>
      <c r="I17" s="37"/>
    </row>
    <row r="18" spans="6:9">
      <c r="F18" s="35" t="s">
        <v>147</v>
      </c>
      <c r="G18" s="35" t="s">
        <v>159</v>
      </c>
      <c r="H18" s="35" t="s">
        <v>160</v>
      </c>
      <c r="I18" s="35" t="s">
        <v>161</v>
      </c>
    </row>
    <row r="19" spans="6:9">
      <c r="F19" s="35">
        <v>381350</v>
      </c>
      <c r="G19" s="35">
        <v>241</v>
      </c>
      <c r="H19" s="35">
        <v>50</v>
      </c>
      <c r="I19" s="35">
        <v>7627</v>
      </c>
    </row>
  </sheetData>
  <mergeCells count="6">
    <mergeCell ref="B2:C2"/>
    <mergeCell ref="F2:G2"/>
    <mergeCell ref="I2:J2"/>
    <mergeCell ref="L2:M2"/>
    <mergeCell ref="O2:P2"/>
    <mergeCell ref="F17:I17"/>
  </mergeCells>
  <conditionalFormatting sqref="C4:C1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{79e8c6a8-6dea-4db3-aaa3-ea2c00eb6f7f}</x14:id>
        </ext>
      </extLst>
    </cfRule>
  </conditionalFormatting>
  <conditionalFormatting sqref="G4:G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{78b22ef6-3655-4caf-baf1-a65d30968498}</x14:id>
        </ext>
      </extLst>
    </cfRule>
  </conditionalFormatting>
  <conditionalFormatting sqref="J4:J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{60e79caa-b2b1-4e69-bb3e-615a12c89776}</x14:id>
        </ext>
      </extLst>
    </cfRule>
  </conditionalFormatting>
  <conditionalFormatting sqref="M4:M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{280d4697-820c-4694-8404-5934f706bded}</x14:id>
        </ext>
      </extLst>
    </cfRule>
  </conditionalFormatting>
  <conditionalFormatting sqref="P4:P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{cd1e926f-6253-4127-adfe-bd6cb4593b9c}</x14:id>
        </ext>
      </extLst>
    </cfRule>
  </conditionalFormatting>
  <conditionalFormatting sqref="C4:C13 C16:C5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{c207f087-4f95-4bf3-8a88-3f2958bac27c}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e8c6a8-6dea-4db3-aaa3-ea2c00eb6f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C4:C14</xm:sqref>
        </x14:conditionalFormatting>
        <x14:conditionalFormatting xmlns:xm="http://schemas.microsoft.com/office/excel/2006/main">
          <x14:cfRule type="dataBar" id="{78b22ef6-3655-4caf-baf1-a65d309684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G4:G7</xm:sqref>
        </x14:conditionalFormatting>
        <x14:conditionalFormatting xmlns:xm="http://schemas.microsoft.com/office/excel/2006/main">
          <x14:cfRule type="dataBar" id="{60e79caa-b2b1-4e69-bb3e-615a12c89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J4:J6</xm:sqref>
        </x14:conditionalFormatting>
        <x14:conditionalFormatting xmlns:xm="http://schemas.microsoft.com/office/excel/2006/main">
          <x14:cfRule type="dataBar" id="{280d4697-820c-4694-8404-5934f706bd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M4:M7</xm:sqref>
        </x14:conditionalFormatting>
        <x14:conditionalFormatting xmlns:xm="http://schemas.microsoft.com/office/excel/2006/main">
          <x14:cfRule type="dataBar" id="{cd1e926f-6253-4127-adfe-bd6cb4593b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P4:P12</xm:sqref>
        </x14:conditionalFormatting>
        <x14:conditionalFormatting xmlns:xm="http://schemas.microsoft.com/office/excel/2006/main">
          <x14:cfRule type="dataBar" id="{c207f087-4f95-4bf3-8a88-3f2958bac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C4:C13 C16:C52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D51"/>
  <sheetViews>
    <sheetView showGridLines="0" showRowColHeaders="0" tabSelected="1" zoomScale="62" zoomScaleNormal="62" workbookViewId="0">
      <selection activeCell="A22" sqref="A22"/>
    </sheetView>
  </sheetViews>
  <sheetFormatPr defaultColWidth="9" defaultRowHeight="16.8"/>
  <cols>
    <col min="1" max="1" width="6.7578125" style="1" customWidth="1"/>
    <col min="2" max="9" width="9" style="1"/>
    <col min="10" max="10" width="13.2265625" style="1" customWidth="1"/>
    <col min="11" max="15" width="9" style="1"/>
    <col min="16" max="16" width="10.578125" style="1" customWidth="1"/>
    <col min="17" max="21" width="9" style="1"/>
    <col min="22" max="22" width="9.7578125" style="1" customWidth="1"/>
    <col min="23" max="23" width="8.953125" style="1" customWidth="1"/>
    <col min="24" max="27" width="9" style="1"/>
    <col min="28" max="28" width="12.59375" style="1" customWidth="1"/>
    <col min="29" max="29" width="9" style="1"/>
    <col min="30" max="30" width="9.765625" style="1" customWidth="1"/>
    <col min="31" max="16384" width="9" style="1"/>
  </cols>
  <sheetData>
    <row r="4" spans="2:30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2:30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30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2:30">
      <c r="G7" s="3"/>
      <c r="H7" s="4"/>
      <c r="I7" s="5"/>
      <c r="J7" s="6"/>
      <c r="K7" s="7"/>
      <c r="L7" s="8"/>
      <c r="M7" s="3"/>
      <c r="N7" s="4"/>
      <c r="O7" s="6"/>
      <c r="P7" s="5"/>
      <c r="Q7" s="9"/>
      <c r="R7" s="10"/>
      <c r="S7" s="3"/>
      <c r="T7" s="11"/>
      <c r="U7" s="5"/>
      <c r="V7" s="5"/>
      <c r="W7" s="7"/>
      <c r="X7" s="12"/>
      <c r="Y7" s="3"/>
      <c r="Z7" s="4"/>
      <c r="AA7" s="5"/>
      <c r="AB7" s="5"/>
      <c r="AC7" s="7"/>
      <c r="AD7" s="12"/>
    </row>
    <row r="8" ht="28.8" spans="2:30">
      <c r="G8" s="13"/>
      <c r="H8" s="14" t="s">
        <v>162</v>
      </c>
      <c r="I8" s="14"/>
      <c r="J8" s="14"/>
      <c r="K8" s="15"/>
      <c r="L8" s="16"/>
      <c r="M8" s="13"/>
      <c r="N8" s="14" t="s">
        <v>163</v>
      </c>
      <c r="O8" s="14"/>
      <c r="P8" s="14"/>
      <c r="Q8" s="17"/>
      <c r="R8" s="12"/>
      <c r="S8" s="13"/>
      <c r="T8" s="18" t="s">
        <v>164</v>
      </c>
      <c r="U8" s="18"/>
      <c r="V8" s="18"/>
      <c r="W8" s="15"/>
      <c r="X8" s="12"/>
      <c r="Y8" s="13"/>
      <c r="Z8" s="18" t="s">
        <v>165</v>
      </c>
      <c r="AA8" s="18"/>
      <c r="AB8" s="18"/>
      <c r="AC8" s="15"/>
      <c r="AD8" s="12"/>
    </row>
    <row r="9" ht="34.4" spans="2:30">
      <c r="G9" s="13"/>
      <c r="H9" s="19">
        <f>GETPIVOTDATA("Sum of total_amount",'SOURCE OF DASHBOARD'!$F$19)</f>
        <v>381350</v>
      </c>
      <c r="I9" s="19"/>
      <c r="J9" s="19"/>
      <c r="K9" s="15"/>
      <c r="L9" s="16"/>
      <c r="M9" s="13"/>
      <c r="N9" s="20">
        <f>GETPIVOTDATA("Sum of quantity",'SOURCE OF DASHBOARD'!$F$19)</f>
        <v>241</v>
      </c>
      <c r="O9" s="20"/>
      <c r="P9" s="20"/>
      <c r="Q9" s="17"/>
      <c r="R9" s="12"/>
      <c r="S9" s="13"/>
      <c r="T9" s="20">
        <f>GETPIVOTDATA("Count of total_amount",'SOURCE OF DASHBOARD'!$F$19)</f>
        <v>50</v>
      </c>
      <c r="U9" s="20"/>
      <c r="V9" s="20"/>
      <c r="W9" s="15"/>
      <c r="X9" s="12"/>
      <c r="Y9" s="13"/>
      <c r="Z9" s="19">
        <f>GETPIVOTDATA("Average of total_amount",'SOURCE OF DASHBOARD'!$F$18)</f>
        <v>7627</v>
      </c>
      <c r="AA9" s="19"/>
      <c r="AB9" s="19"/>
      <c r="AC9" s="15"/>
      <c r="AD9" s="12"/>
    </row>
    <row r="10" ht="17.55" spans="2:30">
      <c r="G10" s="21"/>
      <c r="H10" s="22"/>
      <c r="I10" s="23"/>
      <c r="J10" s="24"/>
      <c r="K10" s="25"/>
      <c r="L10" s="26"/>
      <c r="M10" s="21"/>
      <c r="N10" s="22"/>
      <c r="O10" s="24"/>
      <c r="P10" s="23"/>
      <c r="Q10" s="27"/>
      <c r="R10" s="28"/>
      <c r="S10" s="21"/>
      <c r="T10" s="29"/>
      <c r="U10" s="23"/>
      <c r="V10" s="23"/>
      <c r="W10" s="25"/>
      <c r="X10" s="12"/>
      <c r="Y10" s="21"/>
      <c r="Z10" s="22"/>
      <c r="AA10" s="23"/>
      <c r="AB10" s="23"/>
      <c r="AC10" s="25"/>
      <c r="AD10" s="12"/>
    </row>
    <row r="51" spans="1:1">
      <c r="A51" s="30"/>
    </row>
  </sheetData>
  <sheetProtection sheet="1" selectLockedCells="1" selectUnlockedCells="1" pivotTables="0" objects="1"/>
  <mergeCells count="9">
    <mergeCell ref="H8:J8"/>
    <mergeCell ref="N8:P8"/>
    <mergeCell ref="T8:V8"/>
    <mergeCell ref="Z8:AB8"/>
    <mergeCell ref="H9:J9"/>
    <mergeCell ref="N9:P9"/>
    <mergeCell ref="T9:V9"/>
    <mergeCell ref="Z9:AB9"/>
    <mergeCell ref="B4:AD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DATA QAULITY</vt:lpstr>
      <vt:lpstr>SOURCE OF DASHBOARD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kunalji</dc:creator>
  <cp:lastModifiedBy>kunalji</cp:lastModifiedBy>
  <dcterms:created xsi:type="dcterms:W3CDTF">2026-09-08T17:29:38Z</dcterms:created>
  <dcterms:modified xsi:type="dcterms:W3CDTF">2026-09-09T18:38:12Z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1848F4E0713EB7ABAAF89F6A8E382FBA_41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